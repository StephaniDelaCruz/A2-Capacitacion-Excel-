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/>
  <mc:AlternateContent xmlns:mc="http://schemas.openxmlformats.org/markup-compatibility/2006">
    <mc:Choice Requires="x15">
      <x15ac:absPath xmlns:x15ac="http://schemas.microsoft.com/office/spreadsheetml/2010/11/ac" url="C:\Users\Stephani de La Cruz\Downloads\"/>
    </mc:Choice>
  </mc:AlternateContent>
  <xr:revisionPtr revIDLastSave="0" documentId="13_ncr:1_{546F6906-6DA5-44B0-B7F2-2ED3DC5D17A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e Derecha a Izquierda" sheetId="1" r:id="rId1"/>
    <sheet name="Horizontal" sheetId="3" r:id="rId2"/>
    <sheet name="En Filas y Column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" i="1" l="1"/>
  <c r="H20" i="1" s="1"/>
  <c r="B29" i="4" l="1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28" i="4"/>
  <c r="C29" i="4" l="1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28" i="4"/>
  <c r="D28" i="4" s="1"/>
  <c r="M22" i="3"/>
  <c r="L22" i="3"/>
  <c r="K22" i="3"/>
  <c r="J22" i="3"/>
  <c r="I22" i="3"/>
  <c r="H22" i="3"/>
  <c r="G22" i="3"/>
  <c r="F22" i="3"/>
  <c r="E22" i="3"/>
  <c r="D22" i="3"/>
  <c r="C22" i="3"/>
  <c r="M21" i="3"/>
  <c r="L21" i="3"/>
  <c r="K21" i="3"/>
  <c r="J21" i="3"/>
  <c r="I21" i="3"/>
  <c r="H21" i="3"/>
  <c r="G21" i="3"/>
  <c r="F21" i="3"/>
  <c r="E21" i="3"/>
  <c r="D21" i="3"/>
  <c r="C21" i="3"/>
  <c r="M20" i="3"/>
  <c r="L20" i="3"/>
  <c r="K20" i="3"/>
  <c r="J20" i="3"/>
  <c r="I20" i="3"/>
  <c r="H20" i="3"/>
  <c r="G20" i="3"/>
  <c r="F20" i="3"/>
  <c r="E20" i="3"/>
  <c r="D20" i="3"/>
  <c r="C20" i="3"/>
  <c r="M19" i="3"/>
  <c r="L19" i="3"/>
  <c r="K19" i="3"/>
  <c r="J19" i="3"/>
  <c r="I19" i="3"/>
  <c r="H19" i="3"/>
  <c r="G19" i="3"/>
  <c r="F19" i="3"/>
  <c r="E19" i="3"/>
  <c r="D19" i="3"/>
  <c r="C19" i="3"/>
  <c r="M18" i="3"/>
  <c r="L18" i="3"/>
  <c r="K18" i="3"/>
  <c r="J18" i="3"/>
  <c r="I18" i="3"/>
  <c r="H18" i="3"/>
  <c r="G18" i="3"/>
  <c r="F18" i="3"/>
  <c r="E18" i="3"/>
  <c r="D18" i="3"/>
  <c r="C18" i="3"/>
  <c r="M17" i="3"/>
  <c r="L17" i="3"/>
  <c r="K17" i="3"/>
  <c r="J17" i="3"/>
  <c r="I17" i="3"/>
  <c r="H17" i="3"/>
  <c r="G17" i="3"/>
  <c r="F17" i="3"/>
  <c r="E17" i="3"/>
  <c r="D17" i="3"/>
  <c r="C17" i="3"/>
  <c r="C18" i="1"/>
  <c r="C19" i="1"/>
  <c r="C20" i="1"/>
  <c r="C21" i="1"/>
  <c r="C22" i="1"/>
  <c r="C23" i="1"/>
  <c r="G17" i="1" s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E48" i="4" l="1"/>
  <c r="N20" i="3"/>
  <c r="O20" i="3" s="1"/>
  <c r="N19" i="3"/>
  <c r="O19" i="3" s="1"/>
  <c r="N17" i="3"/>
  <c r="O17" i="3" s="1"/>
  <c r="N18" i="3"/>
  <c r="O18" i="3" s="1"/>
  <c r="N22" i="3"/>
  <c r="O22" i="3" s="1"/>
  <c r="N21" i="3"/>
  <c r="O21" i="3" s="1"/>
  <c r="G19" i="1"/>
  <c r="H19" i="1" s="1"/>
  <c r="G18" i="1"/>
  <c r="H18" i="1" s="1"/>
  <c r="E30" i="4"/>
  <c r="E42" i="4" s="1"/>
  <c r="E37" i="4"/>
  <c r="E49" i="4" s="1"/>
  <c r="E38" i="4"/>
  <c r="E50" i="4" s="1"/>
  <c r="E36" i="4"/>
  <c r="E33" i="4"/>
  <c r="E45" i="4" s="1"/>
  <c r="E32" i="4"/>
  <c r="E44" i="4" s="1"/>
  <c r="E53" i="4"/>
  <c r="E41" i="4"/>
  <c r="E29" i="4"/>
  <c r="E39" i="4"/>
  <c r="E51" i="4" s="1"/>
  <c r="E35" i="4"/>
  <c r="E47" i="4" s="1"/>
  <c r="E34" i="4"/>
  <c r="E46" i="4" s="1"/>
  <c r="E31" i="4"/>
  <c r="E43" i="4" s="1"/>
  <c r="E28" i="4"/>
  <c r="E40" i="4" s="1"/>
  <c r="E52" i="4" s="1"/>
  <c r="H17" i="1"/>
</calcChain>
</file>

<file path=xl/sharedStrings.xml><?xml version="1.0" encoding="utf-8"?>
<sst xmlns="http://schemas.openxmlformats.org/spreadsheetml/2006/main" count="106" uniqueCount="99">
  <si>
    <t>¿Cual es el monto de la factura R08?</t>
  </si>
  <si>
    <t># de Factura</t>
  </si>
  <si>
    <t>Monto</t>
  </si>
  <si>
    <t>Cliente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</si>
  <si>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</si>
  <si>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</si>
  <si>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</si>
  <si>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</si>
  <si>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</si>
  <si>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</si>
  <si>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</si>
  <si>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</si>
  <si>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</si>
  <si>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</si>
  <si>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</si>
  <si>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</si>
  <si>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</si>
  <si>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</si>
  <si>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</si>
  <si>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</si>
  <si>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</si>
  <si>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</si>
  <si>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</si>
  <si>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</si>
  <si>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</si>
  <si>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</si>
  <si>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</si>
  <si>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</si>
  <si>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</si>
  <si>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</si>
  <si>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</si>
  <si>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</si>
  <si>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</si>
  <si>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</si>
  <si>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¿Cuál es el cliente de la factura con el mayor monto?</t>
  </si>
  <si>
    <t>¿Cuál es el cliente de la factura con el menor monto?</t>
  </si>
  <si>
    <t>Pintado A</t>
  </si>
  <si>
    <t>Laminado B</t>
  </si>
  <si>
    <t>Herrajes C</t>
  </si>
  <si>
    <t>Torno D</t>
  </si>
  <si>
    <t>Maquinaria E</t>
  </si>
  <si>
    <t>Alcantarillas F</t>
  </si>
  <si>
    <t>Embalsamado G</t>
  </si>
  <si>
    <t>Carpinteria H</t>
  </si>
  <si>
    <t>Focos I</t>
  </si>
  <si>
    <t>Tortillas M</t>
  </si>
  <si>
    <t>Hamburguesas J</t>
  </si>
  <si>
    <t>Electrónica G</t>
  </si>
  <si>
    <t>Imprenga S</t>
  </si>
  <si>
    <t>Librería Q</t>
  </si>
  <si>
    <t>Bar I</t>
  </si>
  <si>
    <t>Mochilas Chen</t>
  </si>
  <si>
    <t>Libreros Gron</t>
  </si>
  <si>
    <t>Costuras Lim</t>
  </si>
  <si>
    <t>Sillas Mini</t>
  </si>
  <si>
    <t>Mesas Mono</t>
  </si>
  <si>
    <t>¿Cuál es el cliente de la factura R20?</t>
  </si>
  <si>
    <t>Cristalería Ron</t>
  </si>
  <si>
    <t>Ventiladores Han</t>
  </si>
  <si>
    <t>Muros Y</t>
  </si>
  <si>
    <t>Alambrado K</t>
  </si>
  <si>
    <t>Fotografía V</t>
  </si>
  <si>
    <t>Inodoros Limpio</t>
  </si>
  <si>
    <t>Todo para su closet</t>
  </si>
  <si>
    <t>Cocinas y Estufas</t>
  </si>
  <si>
    <t>Tortas de las buenas</t>
  </si>
  <si>
    <t>Tacos de los malos</t>
  </si>
  <si>
    <t>Pregunta</t>
  </si>
  <si>
    <t>Respuesta</t>
  </si>
  <si>
    <t>Empleado/Tarea</t>
  </si>
  <si>
    <t>José</t>
  </si>
  <si>
    <t>Carlos</t>
  </si>
  <si>
    <t>Sergio</t>
  </si>
  <si>
    <t>Eduardo</t>
  </si>
  <si>
    <t>Armando</t>
  </si>
  <si>
    <t>Julio</t>
  </si>
  <si>
    <t>Ivan</t>
  </si>
  <si>
    <t>Mariana</t>
  </si>
  <si>
    <t>Alejandra</t>
  </si>
  <si>
    <t>Carmen</t>
  </si>
  <si>
    <t>Paola</t>
  </si>
  <si>
    <t>Lavar Baños</t>
  </si>
  <si>
    <t>Trapear</t>
  </si>
  <si>
    <t>Barrer</t>
  </si>
  <si>
    <t>Sacar Basura</t>
  </si>
  <si>
    <t>Sacudir</t>
  </si>
  <si>
    <t>Mantenimiento</t>
  </si>
  <si>
    <t>Empleado que más horas tarda en realizar la tarea</t>
  </si>
  <si>
    <t>Descuento</t>
  </si>
  <si>
    <t>Comisión de Ventas</t>
  </si>
  <si>
    <t>Regalo</t>
  </si>
  <si>
    <t>Poster</t>
  </si>
  <si>
    <t>Tarjetas</t>
  </si>
  <si>
    <t>Cuaderno</t>
  </si>
  <si>
    <t>Libro</t>
  </si>
  <si>
    <t>Bolsa</t>
  </si>
  <si>
    <t>Compra</t>
  </si>
  <si>
    <t>A determinar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</si>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</sst>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Franklin Gothic Demi Cond"/>
      <family val="2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21744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7" borderId="0" applyNumberFormat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4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0" borderId="6" xfId="0" applyBorder="1"/>
    <xf numFmtId="164" fontId="0" fillId="0" borderId="8" xfId="0" applyNumberFormat="1" applyBorder="1"/>
    <xf numFmtId="0" fontId="0" fillId="0" borderId="8" xfId="0" applyBorder="1"/>
    <xf numFmtId="0" fontId="1" fillId="3" borderId="1" xfId="2" applyFont="1" applyBorder="1" applyAlignment="1">
      <alignment horizontal="center"/>
    </xf>
    <xf numFmtId="0" fontId="1" fillId="3" borderId="2" xfId="2" applyFont="1" applyBorder="1" applyAlignment="1">
      <alignment horizontal="center"/>
    </xf>
    <xf numFmtId="0" fontId="1" fillId="3" borderId="3" xfId="2" applyFont="1" applyBorder="1" applyAlignment="1">
      <alignment horizontal="center"/>
    </xf>
    <xf numFmtId="164" fontId="0" fillId="0" borderId="5" xfId="0" applyNumberFormat="1" applyBorder="1"/>
    <xf numFmtId="164" fontId="0" fillId="0" borderId="7" xfId="0" applyNumberFormat="1" applyBorder="1"/>
    <xf numFmtId="164" fontId="0" fillId="0" borderId="5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1" fillId="6" borderId="1" xfId="1" applyFont="1" applyFill="1" applyBorder="1"/>
    <xf numFmtId="0" fontId="1" fillId="3" borderId="2" xfId="2" applyFon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6" borderId="1" xfId="0" applyFont="1" applyFill="1" applyBorder="1"/>
    <xf numFmtId="0" fontId="1" fillId="3" borderId="3" xfId="2" applyFont="1" applyBorder="1"/>
    <xf numFmtId="9" fontId="0" fillId="0" borderId="0" xfId="0" applyNumberFormat="1"/>
    <xf numFmtId="9" fontId="0" fillId="0" borderId="8" xfId="0" applyNumberFormat="1" applyBorder="1"/>
    <xf numFmtId="0" fontId="1" fillId="3" borderId="1" xfId="2" applyFont="1" applyBorder="1"/>
    <xf numFmtId="164" fontId="1" fillId="3" borderId="4" xfId="2" applyNumberFormat="1" applyFont="1" applyBorder="1"/>
    <xf numFmtId="164" fontId="1" fillId="3" borderId="6" xfId="2" applyNumberFormat="1" applyFont="1" applyBorder="1"/>
    <xf numFmtId="0" fontId="0" fillId="0" borderId="0" xfId="0" applyAlignment="1" applyProtection="1">
      <alignment horizontal="center"/>
      <protection hidden="1"/>
    </xf>
    <xf numFmtId="0" fontId="3" fillId="7" borderId="10" xfId="4" applyBorder="1"/>
    <xf numFmtId="4" fontId="0" fillId="5" borderId="10" xfId="0" applyNumberFormat="1" applyFill="1" applyBorder="1" applyAlignment="1">
      <alignment horizontal="right"/>
    </xf>
    <xf numFmtId="4" fontId="0" fillId="5" borderId="9" xfId="0" applyNumberFormat="1" applyFill="1" applyBorder="1" applyAlignment="1">
      <alignment horizontal="right"/>
    </xf>
    <xf numFmtId="4" fontId="0" fillId="5" borderId="11" xfId="0" applyNumberFormat="1" applyFill="1" applyBorder="1" applyAlignment="1">
      <alignment horizontal="right"/>
    </xf>
    <xf numFmtId="0" fontId="1" fillId="8" borderId="0" xfId="3" applyFont="1" applyFill="1"/>
    <xf numFmtId="0" fontId="4" fillId="8" borderId="2" xfId="2" applyFont="1" applyFill="1" applyBorder="1"/>
    <xf numFmtId="0" fontId="4" fillId="8" borderId="9" xfId="2" applyFont="1" applyFill="1" applyBorder="1" applyAlignment="1">
      <alignment wrapText="1"/>
    </xf>
    <xf numFmtId="0" fontId="4" fillId="8" borderId="4" xfId="2" applyFont="1" applyFill="1" applyBorder="1"/>
    <xf numFmtId="0" fontId="4" fillId="8" borderId="6" xfId="2" applyFont="1" applyFill="1" applyBorder="1"/>
    <xf numFmtId="164" fontId="4" fillId="8" borderId="1" xfId="3" applyNumberFormat="1" applyFont="1" applyFill="1" applyBorder="1"/>
    <xf numFmtId="0" fontId="4" fillId="8" borderId="2" xfId="3" applyFont="1" applyFill="1" applyBorder="1"/>
    <xf numFmtId="0" fontId="4" fillId="8" borderId="9" xfId="3" applyFont="1" applyFill="1" applyBorder="1" applyAlignment="1">
      <alignment horizontal="right"/>
    </xf>
    <xf numFmtId="164" fontId="4" fillId="8" borderId="4" xfId="3" applyNumberFormat="1" applyFont="1" applyFill="1" applyBorder="1"/>
    <xf numFmtId="0" fontId="4" fillId="8" borderId="0" xfId="3" applyFont="1" applyFill="1" applyBorder="1"/>
    <xf numFmtId="164" fontId="4" fillId="8" borderId="10" xfId="3" applyNumberFormat="1" applyFont="1" applyFill="1" applyBorder="1"/>
    <xf numFmtId="164" fontId="4" fillId="8" borderId="6" xfId="3" applyNumberFormat="1" applyFont="1" applyFill="1" applyBorder="1"/>
    <xf numFmtId="0" fontId="4" fillId="8" borderId="8" xfId="3" applyFont="1" applyFill="1" applyBorder="1"/>
    <xf numFmtId="9" fontId="4" fillId="8" borderId="11" xfId="3" applyNumberFormat="1" applyFont="1" applyFill="1" applyBorder="1"/>
    <xf numFmtId="164" fontId="0" fillId="5" borderId="3" xfId="0" applyNumberFormat="1" applyFill="1" applyBorder="1"/>
    <xf numFmtId="164" fontId="0" fillId="5" borderId="5" xfId="0" applyNumberFormat="1" applyFill="1" applyBorder="1"/>
    <xf numFmtId="164" fontId="0" fillId="5" borderId="7" xfId="0" applyNumberFormat="1" applyFill="1" applyBorder="1"/>
  </cellXfs>
  <cellStyles count="5">
    <cellStyle name="40% - Énfasis4" xfId="4" builtinId="43"/>
    <cellStyle name="Énfasis4" xfId="1" builtinId="41"/>
    <cellStyle name="Énfasis5" xfId="2" builtinId="45"/>
    <cellStyle name="Énfasis6" xfId="3" builtinId="49"/>
    <cellStyle name="Normal" xfId="0" builtinId="0"/>
  </cellStyles>
  <dxfs count="9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2174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7</xdr:row>
      <xdr:rowOff>28575</xdr:rowOff>
    </xdr:from>
    <xdr:to>
      <xdr:col>4</xdr:col>
      <xdr:colOff>47625</xdr:colOff>
      <xdr:row>12</xdr:row>
      <xdr:rowOff>171450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1950" y="1362075"/>
          <a:ext cx="3648075" cy="1095375"/>
        </a:xfrm>
        <a:prstGeom prst="rect">
          <a:avLst/>
        </a:prstGeom>
        <a:solidFill>
          <a:srgbClr val="217447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0">
              <a:latin typeface="Franklin Gothic Demi Cond" panose="020B0706030402020204" pitchFamily="34" charset="0"/>
            </a:rPr>
            <a:t>Instrucciones</a:t>
          </a:r>
        </a:p>
        <a:p>
          <a:pPr algn="l"/>
          <a:endParaRPr lang="es-MX" sz="1100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r>
            <a:rPr lang="es-MX" sz="1100">
              <a:latin typeface="Segoe UI Light" panose="020B0502040204020203" pitchFamily="34" charset="0"/>
              <a:cs typeface="Segoe UI Light" panose="020B0502040204020203" pitchFamily="34" charset="0"/>
            </a:rPr>
            <a:t>Utiliza fórmulas para contestar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las preguntas dadas en las celdas 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H13:H17</a:t>
          </a:r>
          <a:r>
            <a:rPr lang="es-MX" sz="1100">
              <a:latin typeface="Segoe UI Light" panose="020B0502040204020203" pitchFamily="34" charset="0"/>
              <a:cs typeface="Segoe UI Light" panose="020B0502040204020203" pitchFamily="34" charset="0"/>
            </a:rPr>
            <a:t> .</a:t>
          </a:r>
          <a:endParaRPr lang="es-MX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4</xdr:col>
      <xdr:colOff>359284</xdr:colOff>
      <xdr:row>5</xdr:row>
      <xdr:rowOff>137108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862D0B-8CCB-4525-89DC-A2B0FEEC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315968" cy="10991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7</xdr:row>
      <xdr:rowOff>28575</xdr:rowOff>
    </xdr:from>
    <xdr:to>
      <xdr:col>7</xdr:col>
      <xdr:colOff>581025</xdr:colOff>
      <xdr:row>13</xdr:row>
      <xdr:rowOff>66673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76325" y="476250"/>
          <a:ext cx="4914900" cy="1190623"/>
        </a:xfrm>
        <a:prstGeom prst="rect">
          <a:avLst/>
        </a:prstGeom>
        <a:solidFill>
          <a:srgbClr val="217447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1">
              <a:latin typeface="Franklin Gothic Demi Cond" panose="020B0706030402020204" pitchFamily="34" charset="0"/>
            </a:rPr>
            <a:t>Instrucciones</a:t>
          </a:r>
        </a:p>
        <a:p>
          <a:pPr algn="l"/>
          <a:r>
            <a:rPr lang="es-MX" sz="1100">
              <a:latin typeface="Segoe UI Light" panose="020B0502040204020203" pitchFamily="34" charset="0"/>
              <a:cs typeface="Segoe UI Light" panose="020B0502040204020203" pitchFamily="34" charset="0"/>
            </a:rPr>
            <a:t>En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la siguiente tabla se muestran diferentes tareas (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columna B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) y los nombres de diferentes empleados (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Fila 14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). En las celdas 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C15:M20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, viene cuanto se tarda cada empleado en realizar cada tarea. Escribe en las celdas 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N15:N20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cual es el empleado que más horas tarda en realizar cada tarea. </a:t>
          </a:r>
          <a:r>
            <a:rPr lang="es-MX" sz="1100">
              <a:latin typeface="Segoe UI Light" panose="020B0502040204020203" pitchFamily="34" charset="0"/>
              <a:cs typeface="Segoe UI Light" panose="020B0502040204020203" pitchFamily="34" charset="0"/>
            </a:rPr>
            <a:t>.</a:t>
          </a:r>
          <a:endParaRPr lang="es-MX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172593</xdr:colOff>
      <xdr:row>5</xdr:row>
      <xdr:rowOff>137108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3FA62A-71EA-4F91-87A5-A44EE281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6</xdr:row>
      <xdr:rowOff>28575</xdr:rowOff>
    </xdr:from>
    <xdr:to>
      <xdr:col>4</xdr:col>
      <xdr:colOff>1038225</xdr:colOff>
      <xdr:row>12</xdr:row>
      <xdr:rowOff>114300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61950" y="1171575"/>
          <a:ext cx="4229100" cy="1228725"/>
        </a:xfrm>
        <a:prstGeom prst="rect">
          <a:avLst/>
        </a:prstGeom>
        <a:solidFill>
          <a:srgbClr val="217447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0">
              <a:latin typeface="Franklin Gothic Demi Cond" panose="020B0706030402020204" pitchFamily="34" charset="0"/>
              <a:cs typeface="Segoe UI Light" panose="020B0502040204020203" pitchFamily="34" charset="0"/>
            </a:rPr>
            <a:t>Instrucciones</a:t>
          </a:r>
        </a:p>
        <a:p>
          <a:pPr algn="l"/>
          <a:r>
            <a:rPr lang="es-MX" sz="1100">
              <a:latin typeface="Segoe UI Light" panose="020B0502040204020203" pitchFamily="34" charset="0"/>
              <a:cs typeface="Segoe UI Light" panose="020B0502040204020203" pitchFamily="34" charset="0"/>
            </a:rPr>
            <a:t>Determina en las celdas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D22:D47</a:t>
          </a:r>
          <a:r>
            <a:rPr lang="es-MX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lo que se te pide en base a la tabla de 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B13:E18. </a:t>
          </a:r>
          <a:r>
            <a:rPr lang="es-MX" sz="1100" b="0" baseline="0">
              <a:latin typeface="Segoe UI Light" panose="020B0502040204020203" pitchFamily="34" charset="0"/>
              <a:cs typeface="Segoe UI Light" panose="020B0502040204020203" pitchFamily="34" charset="0"/>
            </a:rPr>
            <a:t>Básate en los ejemplos de las celdas </a:t>
          </a:r>
          <a:r>
            <a:rPr lang="es-MX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B22:D24</a:t>
          </a:r>
          <a:endParaRPr lang="es-MX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702183</xdr:colOff>
      <xdr:row>5</xdr:row>
      <xdr:rowOff>137108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E202D3-F4DB-4FC8-9CBD-E401E2A1C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H47"/>
  <sheetViews>
    <sheetView showGridLines="0" topLeftCell="A4" workbookViewId="0">
      <selection activeCell="G17" sqref="G17"/>
    </sheetView>
  </sheetViews>
  <sheetFormatPr baseColWidth="10" defaultColWidth="11.44140625" defaultRowHeight="14.4" x14ac:dyDescent="0.3"/>
  <cols>
    <col min="2" max="2" width="19" bestFit="1" customWidth="1"/>
    <col min="4" max="4" width="17.5546875" customWidth="1"/>
    <col min="6" max="6" width="48.5546875" bestFit="1" customWidth="1"/>
    <col min="7" max="7" width="20.5546875" customWidth="1"/>
    <col min="8" max="8" width="13" bestFit="1" customWidth="1"/>
  </cols>
  <sheetData>
    <row r="10" spans="6:7" x14ac:dyDescent="0.3">
      <c r="G10" t="s">
        <v>9</v>
      </c>
    </row>
    <row r="16" spans="6:7" ht="15" thickBot="1" x14ac:dyDescent="0.35">
      <c r="F16" s="34" t="s">
        <v>67</v>
      </c>
      <c r="G16" s="34" t="s">
        <v>68</v>
      </c>
    </row>
    <row r="17" spans="2:8" x14ac:dyDescent="0.3">
      <c r="B17" s="11" t="s">
        <v>3</v>
      </c>
      <c r="C17" s="12" t="s">
        <v>2</v>
      </c>
      <c r="D17" s="13" t="s">
        <v>1</v>
      </c>
      <c r="F17" s="1" t="s">
        <v>0</v>
      </c>
      <c r="G17" s="48">
        <f ca="1">INDEX(B17:D47,MATCH(G10,D17:D47,0),2)</f>
        <v>108206</v>
      </c>
      <c r="H17" s="29" t="str">
        <f ca="1">IF(G17=INDEX($C$17:$C$47,MATCH("R08",$D$17:$D$47,0)),"✔","✘")</f>
        <v>✔</v>
      </c>
    </row>
    <row r="18" spans="2:8" x14ac:dyDescent="0.3">
      <c r="B18" s="2" t="s">
        <v>38</v>
      </c>
      <c r="C18" s="3">
        <f ca="1">RANDBETWEEN(7500,220000)</f>
        <v>38275</v>
      </c>
      <c r="D18" s="16" t="s">
        <v>4</v>
      </c>
      <c r="F18" s="2" t="s">
        <v>34</v>
      </c>
      <c r="G18" s="49" t="str">
        <f ca="1">INDEX($B$17:$D$47,MATCH(MAX($C$18:$C$47),$C$17:$C$47,0),1)</f>
        <v>Embalsamado G</v>
      </c>
      <c r="H18" s="29" t="str">
        <f ca="1">IF(G18=INDEX($B$17:$B$47,MATCH(MAX($C$17:$C$47),$C$17:$C$47,0)),"✔","✘")</f>
        <v>✔</v>
      </c>
    </row>
    <row r="19" spans="2:8" x14ac:dyDescent="0.3">
      <c r="B19" s="2" t="s">
        <v>37</v>
      </c>
      <c r="C19" s="3">
        <f t="shared" ref="C19:C47" ca="1" si="0">RANDBETWEEN(7500,220000)</f>
        <v>200546</v>
      </c>
      <c r="D19" s="16" t="s">
        <v>5</v>
      </c>
      <c r="F19" s="2" t="s">
        <v>35</v>
      </c>
      <c r="G19" s="49" t="str">
        <f ca="1">INDEX($B$17:$D$47,MATCH(MIN($C$18:$C$47),$C$17:$C$47,0),1)</f>
        <v>Torno D</v>
      </c>
      <c r="H19" s="29" t="str">
        <f ca="1">IF(G19=INDEX($B$17:$B$47,MATCH(MIN($C$17:$C$47),$C$17:$C$47,0)),"✔","✘")</f>
        <v>✔</v>
      </c>
    </row>
    <row r="20" spans="2:8" ht="15" thickBot="1" x14ac:dyDescent="0.35">
      <c r="B20" s="2" t="s">
        <v>36</v>
      </c>
      <c r="C20" s="3">
        <f t="shared" ca="1" si="0"/>
        <v>217414</v>
      </c>
      <c r="D20" s="16" t="s">
        <v>6</v>
      </c>
      <c r="F20" s="8" t="s">
        <v>56</v>
      </c>
      <c r="G20" s="50" t="str">
        <f>INDEX(B17:D47,MATCH(G27,D17:D47,0),1)</f>
        <v>Costuras Lim</v>
      </c>
      <c r="H20" s="29" t="str">
        <f>IF(G20=INDEX($B$17:$B$47,MATCH("R20",$D$17:$D$47,0)),"✔","✘")</f>
        <v>✔</v>
      </c>
    </row>
    <row r="21" spans="2:8" x14ac:dyDescent="0.3">
      <c r="B21" s="2" t="s">
        <v>39</v>
      </c>
      <c r="C21" s="3">
        <f t="shared" ca="1" si="0"/>
        <v>9251</v>
      </c>
      <c r="D21" s="16" t="s">
        <v>7</v>
      </c>
    </row>
    <row r="22" spans="2:8" x14ac:dyDescent="0.3">
      <c r="B22" s="2" t="s">
        <v>40</v>
      </c>
      <c r="C22" s="3">
        <f t="shared" ca="1" si="0"/>
        <v>151783</v>
      </c>
      <c r="D22" s="16" t="s">
        <v>8</v>
      </c>
    </row>
    <row r="23" spans="2:8" x14ac:dyDescent="0.3">
      <c r="B23" s="2" t="s">
        <v>41</v>
      </c>
      <c r="C23" s="3">
        <f t="shared" ca="1" si="0"/>
        <v>108206</v>
      </c>
      <c r="D23" s="16" t="s">
        <v>9</v>
      </c>
    </row>
    <row r="24" spans="2:8" x14ac:dyDescent="0.3">
      <c r="B24" s="2" t="s">
        <v>42</v>
      </c>
      <c r="C24" s="3">
        <f t="shared" ca="1" si="0"/>
        <v>219540</v>
      </c>
      <c r="D24" s="16" t="s">
        <v>10</v>
      </c>
    </row>
    <row r="25" spans="2:8" x14ac:dyDescent="0.3">
      <c r="B25" s="2" t="s">
        <v>43</v>
      </c>
      <c r="C25" s="3">
        <f t="shared" ca="1" si="0"/>
        <v>213093</v>
      </c>
      <c r="D25" s="16" t="s">
        <v>11</v>
      </c>
    </row>
    <row r="26" spans="2:8" x14ac:dyDescent="0.3">
      <c r="B26" s="2" t="s">
        <v>44</v>
      </c>
      <c r="C26" s="3">
        <f t="shared" ca="1" si="0"/>
        <v>31257</v>
      </c>
      <c r="D26" s="16" t="s">
        <v>12</v>
      </c>
    </row>
    <row r="27" spans="2:8" x14ac:dyDescent="0.3">
      <c r="B27" s="2" t="s">
        <v>45</v>
      </c>
      <c r="C27" s="3">
        <f t="shared" ca="1" si="0"/>
        <v>19569</v>
      </c>
      <c r="D27" s="16" t="s">
        <v>13</v>
      </c>
      <c r="G27" t="s">
        <v>21</v>
      </c>
    </row>
    <row r="28" spans="2:8" x14ac:dyDescent="0.3">
      <c r="B28" s="2" t="s">
        <v>46</v>
      </c>
      <c r="C28" s="3">
        <f t="shared" ca="1" si="0"/>
        <v>95478</v>
      </c>
      <c r="D28" s="16" t="s">
        <v>14</v>
      </c>
    </row>
    <row r="29" spans="2:8" x14ac:dyDescent="0.3">
      <c r="B29" s="2" t="s">
        <v>47</v>
      </c>
      <c r="C29" s="3">
        <f t="shared" ca="1" si="0"/>
        <v>78825</v>
      </c>
      <c r="D29" s="16" t="s">
        <v>15</v>
      </c>
    </row>
    <row r="30" spans="2:8" x14ac:dyDescent="0.3">
      <c r="B30" s="2" t="s">
        <v>48</v>
      </c>
      <c r="C30" s="3">
        <f t="shared" ca="1" si="0"/>
        <v>56204</v>
      </c>
      <c r="D30" s="16" t="s">
        <v>16</v>
      </c>
    </row>
    <row r="31" spans="2:8" x14ac:dyDescent="0.3">
      <c r="B31" s="2" t="s">
        <v>49</v>
      </c>
      <c r="C31" s="3">
        <f t="shared" ca="1" si="0"/>
        <v>10447</v>
      </c>
      <c r="D31" s="16" t="s">
        <v>17</v>
      </c>
    </row>
    <row r="32" spans="2:8" x14ac:dyDescent="0.3">
      <c r="B32" s="2" t="s">
        <v>50</v>
      </c>
      <c r="C32" s="3">
        <f t="shared" ca="1" si="0"/>
        <v>109360</v>
      </c>
      <c r="D32" s="16" t="s">
        <v>18</v>
      </c>
    </row>
    <row r="33" spans="2:4" x14ac:dyDescent="0.3">
      <c r="B33" s="2" t="s">
        <v>51</v>
      </c>
      <c r="C33" s="3">
        <f t="shared" ca="1" si="0"/>
        <v>136001</v>
      </c>
      <c r="D33" s="16" t="s">
        <v>19</v>
      </c>
    </row>
    <row r="34" spans="2:4" x14ac:dyDescent="0.3">
      <c r="B34" s="2" t="s">
        <v>52</v>
      </c>
      <c r="C34" s="3">
        <f t="shared" ca="1" si="0"/>
        <v>167513</v>
      </c>
      <c r="D34" s="16" t="s">
        <v>20</v>
      </c>
    </row>
    <row r="35" spans="2:4" x14ac:dyDescent="0.3">
      <c r="B35" s="2" t="s">
        <v>53</v>
      </c>
      <c r="C35" s="3">
        <f t="shared" ca="1" si="0"/>
        <v>40503</v>
      </c>
      <c r="D35" s="16" t="s">
        <v>21</v>
      </c>
    </row>
    <row r="36" spans="2:4" x14ac:dyDescent="0.3">
      <c r="B36" s="2" t="s">
        <v>54</v>
      </c>
      <c r="C36" s="3">
        <f t="shared" ca="1" si="0"/>
        <v>38446</v>
      </c>
      <c r="D36" s="16" t="s">
        <v>22</v>
      </c>
    </row>
    <row r="37" spans="2:4" x14ac:dyDescent="0.3">
      <c r="B37" s="2" t="s">
        <v>55</v>
      </c>
      <c r="C37" s="3">
        <f t="shared" ca="1" si="0"/>
        <v>172349</v>
      </c>
      <c r="D37" s="16" t="s">
        <v>23</v>
      </c>
    </row>
    <row r="38" spans="2:4" x14ac:dyDescent="0.3">
      <c r="B38" s="2" t="s">
        <v>57</v>
      </c>
      <c r="C38" s="3">
        <f t="shared" ca="1" si="0"/>
        <v>48052</v>
      </c>
      <c r="D38" s="16" t="s">
        <v>24</v>
      </c>
    </row>
    <row r="39" spans="2:4" x14ac:dyDescent="0.3">
      <c r="B39" s="2" t="s">
        <v>58</v>
      </c>
      <c r="C39" s="3">
        <f t="shared" ca="1" si="0"/>
        <v>139889</v>
      </c>
      <c r="D39" s="16" t="s">
        <v>25</v>
      </c>
    </row>
    <row r="40" spans="2:4" x14ac:dyDescent="0.3">
      <c r="B40" s="2" t="s">
        <v>59</v>
      </c>
      <c r="C40" s="3">
        <f t="shared" ca="1" si="0"/>
        <v>43786</v>
      </c>
      <c r="D40" s="16" t="s">
        <v>26</v>
      </c>
    </row>
    <row r="41" spans="2:4" x14ac:dyDescent="0.3">
      <c r="B41" s="2" t="s">
        <v>60</v>
      </c>
      <c r="C41" s="3">
        <f t="shared" ca="1" si="0"/>
        <v>198625</v>
      </c>
      <c r="D41" s="16" t="s">
        <v>27</v>
      </c>
    </row>
    <row r="42" spans="2:4" x14ac:dyDescent="0.3">
      <c r="B42" s="2" t="s">
        <v>61</v>
      </c>
      <c r="C42" s="3">
        <f t="shared" ca="1" si="0"/>
        <v>15686</v>
      </c>
      <c r="D42" s="16" t="s">
        <v>28</v>
      </c>
    </row>
    <row r="43" spans="2:4" x14ac:dyDescent="0.3">
      <c r="B43" s="2" t="s">
        <v>62</v>
      </c>
      <c r="C43" s="3">
        <f t="shared" ca="1" si="0"/>
        <v>36212</v>
      </c>
      <c r="D43" s="16" t="s">
        <v>29</v>
      </c>
    </row>
    <row r="44" spans="2:4" x14ac:dyDescent="0.3">
      <c r="B44" s="2" t="s">
        <v>63</v>
      </c>
      <c r="C44" s="3">
        <f t="shared" ca="1" si="0"/>
        <v>12001</v>
      </c>
      <c r="D44" s="16" t="s">
        <v>30</v>
      </c>
    </row>
    <row r="45" spans="2:4" x14ac:dyDescent="0.3">
      <c r="B45" s="2" t="s">
        <v>64</v>
      </c>
      <c r="C45" s="3">
        <f t="shared" ca="1" si="0"/>
        <v>41392</v>
      </c>
      <c r="D45" s="16" t="s">
        <v>31</v>
      </c>
    </row>
    <row r="46" spans="2:4" x14ac:dyDescent="0.3">
      <c r="B46" s="2" t="s">
        <v>65</v>
      </c>
      <c r="C46" s="3">
        <f t="shared" ca="1" si="0"/>
        <v>207334</v>
      </c>
      <c r="D46" s="16" t="s">
        <v>32</v>
      </c>
    </row>
    <row r="47" spans="2:4" ht="15" thickBot="1" x14ac:dyDescent="0.35">
      <c r="B47" s="8" t="s">
        <v>66</v>
      </c>
      <c r="C47" s="9">
        <f t="shared" ca="1" si="0"/>
        <v>100854</v>
      </c>
      <c r="D47" s="17" t="s">
        <v>33</v>
      </c>
    </row>
  </sheetData>
  <conditionalFormatting sqref="H17:H20">
    <cfRule type="expression" dxfId="8" priority="1">
      <formula>G17=""</formula>
    </cfRule>
    <cfRule type="cellIs" dxfId="7" priority="2" operator="equal">
      <formula>"✔"</formula>
    </cfRule>
    <cfRule type="containsText" dxfId="6" priority="3" operator="containsText" text="✘">
      <formula>NOT(ISERROR(SEARCH("✘",H17)))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5:O22"/>
  <sheetViews>
    <sheetView showGridLines="0" workbookViewId="0">
      <selection activeCell="N17" sqref="N17"/>
    </sheetView>
  </sheetViews>
  <sheetFormatPr baseColWidth="10" defaultColWidth="11.44140625" defaultRowHeight="14.4" x14ac:dyDescent="0.3"/>
  <cols>
    <col min="2" max="2" width="19" bestFit="1" customWidth="1"/>
    <col min="3" max="3" width="12.5546875" customWidth="1"/>
    <col min="4" max="4" width="7.6640625" bestFit="1" customWidth="1"/>
    <col min="6" max="6" width="11.5546875" customWidth="1"/>
    <col min="7" max="7" width="7.44140625" bestFit="1" customWidth="1"/>
    <col min="8" max="8" width="14.88671875" bestFit="1" customWidth="1"/>
    <col min="14" max="14" width="19.88671875" customWidth="1"/>
  </cols>
  <sheetData>
    <row r="15" spans="2:14" ht="15" thickBot="1" x14ac:dyDescent="0.35"/>
    <row r="16" spans="2:14" ht="45" x14ac:dyDescent="0.35">
      <c r="B16" s="18" t="s">
        <v>69</v>
      </c>
      <c r="C16" s="35" t="s">
        <v>70</v>
      </c>
      <c r="D16" s="35" t="s">
        <v>71</v>
      </c>
      <c r="E16" s="35" t="s">
        <v>72</v>
      </c>
      <c r="F16" s="35" t="s">
        <v>73</v>
      </c>
      <c r="G16" s="35" t="s">
        <v>74</v>
      </c>
      <c r="H16" s="35" t="s">
        <v>75</v>
      </c>
      <c r="I16" s="35" t="s">
        <v>76</v>
      </c>
      <c r="J16" s="35" t="s">
        <v>77</v>
      </c>
      <c r="K16" s="35" t="s">
        <v>78</v>
      </c>
      <c r="L16" s="35" t="s">
        <v>79</v>
      </c>
      <c r="M16" s="35" t="s">
        <v>80</v>
      </c>
      <c r="N16" s="36" t="s">
        <v>87</v>
      </c>
    </row>
    <row r="17" spans="2:15" ht="15" x14ac:dyDescent="0.35">
      <c r="B17" s="37" t="s">
        <v>81</v>
      </c>
      <c r="C17" s="20">
        <f t="shared" ref="C17:M22" ca="1" si="0">RANDBETWEEN(4,10)</f>
        <v>10</v>
      </c>
      <c r="D17" s="20">
        <f t="shared" ca="1" si="0"/>
        <v>6</v>
      </c>
      <c r="E17" s="20">
        <f t="shared" ca="1" si="0"/>
        <v>6</v>
      </c>
      <c r="F17" s="20">
        <f t="shared" ca="1" si="0"/>
        <v>4</v>
      </c>
      <c r="G17" s="20">
        <f t="shared" ca="1" si="0"/>
        <v>6</v>
      </c>
      <c r="H17" s="20">
        <f t="shared" ca="1" si="0"/>
        <v>9</v>
      </c>
      <c r="I17" s="20">
        <f t="shared" ca="1" si="0"/>
        <v>8</v>
      </c>
      <c r="J17" s="20">
        <f t="shared" ca="1" si="0"/>
        <v>5</v>
      </c>
      <c r="K17" s="20">
        <f t="shared" ca="1" si="0"/>
        <v>5</v>
      </c>
      <c r="L17" s="20">
        <f t="shared" ca="1" si="0"/>
        <v>6</v>
      </c>
      <c r="M17" s="20">
        <f t="shared" ca="1" si="0"/>
        <v>10</v>
      </c>
      <c r="N17" s="30" t="str">
        <f ca="1">INDEX($B$16:$M$22,1,MATCH(MAX(C17:M17),B17:M17,0))</f>
        <v>José</v>
      </c>
      <c r="O17" s="29" t="str">
        <f ca="1">IF(N17=INDEX($B$16:$M$16,MATCH(MAX(C17:M17),B17:M17,0)),"✔","✘")</f>
        <v>✔</v>
      </c>
    </row>
    <row r="18" spans="2:15" ht="15" x14ac:dyDescent="0.35">
      <c r="B18" s="37" t="s">
        <v>82</v>
      </c>
      <c r="C18" s="20">
        <f t="shared" ca="1" si="0"/>
        <v>5</v>
      </c>
      <c r="D18" s="20">
        <f t="shared" ca="1" si="0"/>
        <v>5</v>
      </c>
      <c r="E18" s="20">
        <f t="shared" ca="1" si="0"/>
        <v>5</v>
      </c>
      <c r="F18" s="20">
        <f t="shared" ca="1" si="0"/>
        <v>5</v>
      </c>
      <c r="G18" s="20">
        <f t="shared" ca="1" si="0"/>
        <v>5</v>
      </c>
      <c r="H18" s="20">
        <f t="shared" ca="1" si="0"/>
        <v>4</v>
      </c>
      <c r="I18" s="20">
        <f t="shared" ca="1" si="0"/>
        <v>4</v>
      </c>
      <c r="J18" s="20">
        <f t="shared" ca="1" si="0"/>
        <v>4</v>
      </c>
      <c r="K18" s="20">
        <f t="shared" ca="1" si="0"/>
        <v>7</v>
      </c>
      <c r="L18" s="20">
        <f t="shared" ca="1" si="0"/>
        <v>4</v>
      </c>
      <c r="M18" s="20">
        <f t="shared" ca="1" si="0"/>
        <v>7</v>
      </c>
      <c r="N18" s="30" t="str">
        <f t="shared" ref="N18:N22" ca="1" si="1">INDEX($B$16:$M$22,1,MATCH(MAX(C18:M18),B18:M18,0))</f>
        <v>Alejandra</v>
      </c>
      <c r="O18" s="29" t="str">
        <f t="shared" ref="O18:O22" ca="1" si="2">IF(N18=INDEX($B$16:$M$16,MATCH(MAX(C18:M18),B18:M18,0)),"✔","✘")</f>
        <v>✔</v>
      </c>
    </row>
    <row r="19" spans="2:15" ht="15" x14ac:dyDescent="0.35">
      <c r="B19" s="37" t="s">
        <v>83</v>
      </c>
      <c r="C19" s="20">
        <f t="shared" ca="1" si="0"/>
        <v>10</v>
      </c>
      <c r="D19" s="20">
        <f t="shared" ca="1" si="0"/>
        <v>10</v>
      </c>
      <c r="E19" s="20">
        <f t="shared" ca="1" si="0"/>
        <v>7</v>
      </c>
      <c r="F19" s="20">
        <f t="shared" ca="1" si="0"/>
        <v>4</v>
      </c>
      <c r="G19" s="20">
        <f t="shared" ca="1" si="0"/>
        <v>8</v>
      </c>
      <c r="H19" s="20">
        <f t="shared" ca="1" si="0"/>
        <v>8</v>
      </c>
      <c r="I19" s="20">
        <f t="shared" ca="1" si="0"/>
        <v>9</v>
      </c>
      <c r="J19" s="20">
        <f t="shared" ca="1" si="0"/>
        <v>5</v>
      </c>
      <c r="K19" s="20">
        <f t="shared" ca="1" si="0"/>
        <v>6</v>
      </c>
      <c r="L19" s="20">
        <f t="shared" ca="1" si="0"/>
        <v>6</v>
      </c>
      <c r="M19" s="20">
        <f t="shared" ca="1" si="0"/>
        <v>9</v>
      </c>
      <c r="N19" s="30" t="str">
        <f t="shared" ca="1" si="1"/>
        <v>José</v>
      </c>
      <c r="O19" s="29" t="str">
        <f t="shared" ca="1" si="2"/>
        <v>✔</v>
      </c>
    </row>
    <row r="20" spans="2:15" ht="15" x14ac:dyDescent="0.35">
      <c r="B20" s="37" t="s">
        <v>84</v>
      </c>
      <c r="C20" s="20">
        <f t="shared" ca="1" si="0"/>
        <v>4</v>
      </c>
      <c r="D20" s="20">
        <f t="shared" ca="1" si="0"/>
        <v>4</v>
      </c>
      <c r="E20" s="20">
        <f t="shared" ca="1" si="0"/>
        <v>5</v>
      </c>
      <c r="F20" s="20">
        <f t="shared" ca="1" si="0"/>
        <v>7</v>
      </c>
      <c r="G20" s="20">
        <f t="shared" ca="1" si="0"/>
        <v>5</v>
      </c>
      <c r="H20" s="20">
        <f t="shared" ca="1" si="0"/>
        <v>5</v>
      </c>
      <c r="I20" s="20">
        <f t="shared" ca="1" si="0"/>
        <v>8</v>
      </c>
      <c r="J20" s="20">
        <f t="shared" ca="1" si="0"/>
        <v>4</v>
      </c>
      <c r="K20" s="20">
        <f t="shared" ca="1" si="0"/>
        <v>10</v>
      </c>
      <c r="L20" s="20">
        <f t="shared" ca="1" si="0"/>
        <v>7</v>
      </c>
      <c r="M20" s="20">
        <f t="shared" ca="1" si="0"/>
        <v>8</v>
      </c>
      <c r="N20" s="30" t="str">
        <f t="shared" ca="1" si="1"/>
        <v>Alejandra</v>
      </c>
      <c r="O20" s="29" t="str">
        <f t="shared" ca="1" si="2"/>
        <v>✔</v>
      </c>
    </row>
    <row r="21" spans="2:15" ht="15" x14ac:dyDescent="0.35">
      <c r="B21" s="37" t="s">
        <v>85</v>
      </c>
      <c r="C21" s="20">
        <f t="shared" ca="1" si="0"/>
        <v>6</v>
      </c>
      <c r="D21" s="20">
        <f t="shared" ca="1" si="0"/>
        <v>8</v>
      </c>
      <c r="E21" s="20">
        <f t="shared" ca="1" si="0"/>
        <v>8</v>
      </c>
      <c r="F21" s="20">
        <f t="shared" ca="1" si="0"/>
        <v>6</v>
      </c>
      <c r="G21" s="20">
        <f t="shared" ca="1" si="0"/>
        <v>7</v>
      </c>
      <c r="H21" s="20">
        <f t="shared" ca="1" si="0"/>
        <v>9</v>
      </c>
      <c r="I21" s="20">
        <f t="shared" ca="1" si="0"/>
        <v>5</v>
      </c>
      <c r="J21" s="20">
        <f t="shared" ca="1" si="0"/>
        <v>9</v>
      </c>
      <c r="K21" s="20">
        <f t="shared" ca="1" si="0"/>
        <v>9</v>
      </c>
      <c r="L21" s="20">
        <f t="shared" ca="1" si="0"/>
        <v>8</v>
      </c>
      <c r="M21" s="20">
        <f t="shared" ca="1" si="0"/>
        <v>10</v>
      </c>
      <c r="N21" s="30" t="str">
        <f t="shared" ca="1" si="1"/>
        <v>Paola</v>
      </c>
      <c r="O21" s="29" t="str">
        <f t="shared" ca="1" si="2"/>
        <v>✔</v>
      </c>
    </row>
    <row r="22" spans="2:15" ht="15.6" thickBot="1" x14ac:dyDescent="0.4">
      <c r="B22" s="38" t="s">
        <v>86</v>
      </c>
      <c r="C22" s="21">
        <f t="shared" ca="1" si="0"/>
        <v>6</v>
      </c>
      <c r="D22" s="21">
        <f t="shared" ca="1" si="0"/>
        <v>6</v>
      </c>
      <c r="E22" s="21">
        <f t="shared" ca="1" si="0"/>
        <v>6</v>
      </c>
      <c r="F22" s="21">
        <f t="shared" ca="1" si="0"/>
        <v>5</v>
      </c>
      <c r="G22" s="21">
        <f t="shared" ca="1" si="0"/>
        <v>7</v>
      </c>
      <c r="H22" s="21">
        <f t="shared" ca="1" si="0"/>
        <v>6</v>
      </c>
      <c r="I22" s="21">
        <f t="shared" ca="1" si="0"/>
        <v>4</v>
      </c>
      <c r="J22" s="21">
        <f t="shared" ca="1" si="0"/>
        <v>9</v>
      </c>
      <c r="K22" s="21">
        <f t="shared" ca="1" si="0"/>
        <v>9</v>
      </c>
      <c r="L22" s="21">
        <f t="shared" ca="1" si="0"/>
        <v>8</v>
      </c>
      <c r="M22" s="21">
        <f t="shared" ca="1" si="0"/>
        <v>7</v>
      </c>
      <c r="N22" s="30" t="str">
        <f t="shared" ca="1" si="1"/>
        <v>Mariana</v>
      </c>
      <c r="O22" s="29" t="str">
        <f t="shared" ca="1" si="2"/>
        <v>✔</v>
      </c>
    </row>
  </sheetData>
  <conditionalFormatting sqref="O17:O22">
    <cfRule type="expression" dxfId="5" priority="1">
      <formula>N17=""</formula>
    </cfRule>
    <cfRule type="cellIs" dxfId="4" priority="2" operator="equal">
      <formula>"✔"</formula>
    </cfRule>
    <cfRule type="containsText" dxfId="3" priority="3" operator="containsText" text="✘">
      <formula>NOT(ISERROR(SEARCH("✘",O17)))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5:E53"/>
  <sheetViews>
    <sheetView showGridLines="0" tabSelected="1" topLeftCell="A21" workbookViewId="0">
      <selection activeCell="G48" sqref="G48"/>
    </sheetView>
  </sheetViews>
  <sheetFormatPr baseColWidth="10" defaultColWidth="11.44140625" defaultRowHeight="14.4" x14ac:dyDescent="0.3"/>
  <cols>
    <col min="2" max="2" width="12.44140625" bestFit="1" customWidth="1"/>
    <col min="3" max="3" width="18.6640625" bestFit="1" customWidth="1"/>
    <col min="4" max="4" width="11.6640625" customWidth="1"/>
    <col min="5" max="5" width="18.6640625" bestFit="1" customWidth="1"/>
    <col min="8" max="8" width="22.5546875" bestFit="1" customWidth="1"/>
    <col min="9" max="9" width="13" bestFit="1" customWidth="1"/>
  </cols>
  <sheetData>
    <row r="15" spans="2:5" ht="15" thickBot="1" x14ac:dyDescent="0.35"/>
    <row r="16" spans="2:5" x14ac:dyDescent="0.3">
      <c r="B16" s="22" t="s">
        <v>2</v>
      </c>
      <c r="C16" s="19" t="s">
        <v>88</v>
      </c>
      <c r="D16" s="19" t="s">
        <v>90</v>
      </c>
      <c r="E16" s="23" t="s">
        <v>89</v>
      </c>
    </row>
    <row r="17" spans="2:5" x14ac:dyDescent="0.3">
      <c r="B17" s="27">
        <v>10000</v>
      </c>
      <c r="C17" s="24">
        <v>0.05</v>
      </c>
      <c r="D17" t="s">
        <v>91</v>
      </c>
      <c r="E17" s="14">
        <v>100</v>
      </c>
    </row>
    <row r="18" spans="2:5" x14ac:dyDescent="0.3">
      <c r="B18" s="27">
        <v>20000</v>
      </c>
      <c r="C18" s="24">
        <v>0.1</v>
      </c>
      <c r="D18" t="s">
        <v>92</v>
      </c>
      <c r="E18" s="14">
        <v>200</v>
      </c>
    </row>
    <row r="19" spans="2:5" x14ac:dyDescent="0.3">
      <c r="B19" s="27">
        <v>50000</v>
      </c>
      <c r="C19" s="24">
        <v>0.15</v>
      </c>
      <c r="D19" t="s">
        <v>93</v>
      </c>
      <c r="E19" s="14">
        <v>500</v>
      </c>
    </row>
    <row r="20" spans="2:5" x14ac:dyDescent="0.3">
      <c r="B20" s="27">
        <v>100000</v>
      </c>
      <c r="C20" s="24">
        <v>0.2</v>
      </c>
      <c r="D20" t="s">
        <v>94</v>
      </c>
      <c r="E20" s="14">
        <v>1000</v>
      </c>
    </row>
    <row r="21" spans="2:5" ht="15" thickBot="1" x14ac:dyDescent="0.35">
      <c r="B21" s="28">
        <v>150000</v>
      </c>
      <c r="C21" s="25">
        <v>0.25</v>
      </c>
      <c r="D21" s="10" t="s">
        <v>95</v>
      </c>
      <c r="E21" s="15">
        <v>1500</v>
      </c>
    </row>
    <row r="23" spans="2:5" ht="15" thickBot="1" x14ac:dyDescent="0.35"/>
    <row r="24" spans="2:5" ht="15" thickBot="1" x14ac:dyDescent="0.35">
      <c r="B24" s="26" t="s">
        <v>96</v>
      </c>
      <c r="C24" s="19" t="s">
        <v>97</v>
      </c>
      <c r="D24" s="23" t="s">
        <v>98</v>
      </c>
    </row>
    <row r="25" spans="2:5" ht="15" x14ac:dyDescent="0.35">
      <c r="B25" s="39">
        <v>140000</v>
      </c>
      <c r="C25" s="40" t="s">
        <v>90</v>
      </c>
      <c r="D25" s="41" t="s">
        <v>94</v>
      </c>
    </row>
    <row r="26" spans="2:5" ht="15" x14ac:dyDescent="0.35">
      <c r="B26" s="42">
        <v>22000</v>
      </c>
      <c r="C26" s="43" t="s">
        <v>89</v>
      </c>
      <c r="D26" s="44">
        <v>200</v>
      </c>
    </row>
    <row r="27" spans="2:5" ht="15.6" thickBot="1" x14ac:dyDescent="0.4">
      <c r="B27" s="45">
        <v>250000</v>
      </c>
      <c r="C27" s="46" t="s">
        <v>88</v>
      </c>
      <c r="D27" s="47">
        <v>0.25</v>
      </c>
    </row>
    <row r="28" spans="2:5" x14ac:dyDescent="0.3">
      <c r="B28" s="4">
        <f ca="1">RANDBETWEEN(10,300)*1000</f>
        <v>133000</v>
      </c>
      <c r="C28" s="5" t="str">
        <f ca="1">INDEX($C$16:$E$16,,RANDBETWEEN(1,3))</f>
        <v>Descuento</v>
      </c>
      <c r="D28" s="32">
        <f ca="1">INDEX($B$16:$E$21,MATCH(B28,$B$16:$B$21,1),MATCH(C28,$B$16:$E$16,0))</f>
        <v>0.2</v>
      </c>
      <c r="E28" s="29" t="str">
        <f ca="1">IF(D28=INDEX($B$16:$E$21,MATCH(B28,$B$16:$B$21,1),MATCH(C28,$B$16:$E$16,0)),"✔","✘")</f>
        <v>✔</v>
      </c>
    </row>
    <row r="29" spans="2:5" x14ac:dyDescent="0.3">
      <c r="B29" s="4">
        <f t="shared" ref="B29:B53" ca="1" si="0">RANDBETWEEN(10,300)*1000</f>
        <v>33000</v>
      </c>
      <c r="C29" s="5" t="str">
        <f t="shared" ref="C29:C53" ca="1" si="1">INDEX($C$16:$E$16,,RANDBETWEEN(1,3))</f>
        <v>Comisión de Ventas</v>
      </c>
      <c r="D29" s="31">
        <f t="shared" ref="D29:D53" ca="1" si="2">INDEX($B$16:$E$21,MATCH(B29,$B$16:$B$21,1),MATCH(C29,$B$16:$E$16,0))</f>
        <v>200</v>
      </c>
      <c r="E29" s="29" t="str">
        <f t="shared" ref="E29:E53" ca="1" si="3">IF(D29=INDEX($B$16:$E$21,MATCH(B29,$B$16:$B$21,1),MATCH(C29,$B$16:$E$16,0)),"✔","✘")</f>
        <v>✔</v>
      </c>
    </row>
    <row r="30" spans="2:5" x14ac:dyDescent="0.3">
      <c r="B30" s="4">
        <f t="shared" ca="1" si="0"/>
        <v>237000</v>
      </c>
      <c r="C30" s="5" t="str">
        <f t="shared" ca="1" si="1"/>
        <v>Regalo</v>
      </c>
      <c r="D30" s="31" t="str">
        <f t="shared" ca="1" si="2"/>
        <v>Bolsa</v>
      </c>
      <c r="E30" s="29" t="str">
        <f t="shared" ca="1" si="3"/>
        <v>✔</v>
      </c>
    </row>
    <row r="31" spans="2:5" x14ac:dyDescent="0.3">
      <c r="B31" s="4">
        <f t="shared" ca="1" si="0"/>
        <v>177000</v>
      </c>
      <c r="C31" s="5" t="str">
        <f t="shared" ca="1" si="1"/>
        <v>Comisión de Ventas</v>
      </c>
      <c r="D31" s="31">
        <f t="shared" ca="1" si="2"/>
        <v>1500</v>
      </c>
      <c r="E31" s="29" t="str">
        <f t="shared" ca="1" si="3"/>
        <v>✔</v>
      </c>
    </row>
    <row r="32" spans="2:5" x14ac:dyDescent="0.3">
      <c r="B32" s="4">
        <f t="shared" ca="1" si="0"/>
        <v>177000</v>
      </c>
      <c r="C32" s="5" t="str">
        <f t="shared" ca="1" si="1"/>
        <v>Descuento</v>
      </c>
      <c r="D32" s="31">
        <f t="shared" ca="1" si="2"/>
        <v>0.25</v>
      </c>
      <c r="E32" s="29" t="str">
        <f t="shared" ca="1" si="3"/>
        <v>✔</v>
      </c>
    </row>
    <row r="33" spans="2:5" x14ac:dyDescent="0.3">
      <c r="B33" s="4">
        <f t="shared" ca="1" si="0"/>
        <v>180000</v>
      </c>
      <c r="C33" s="5" t="str">
        <f t="shared" ca="1" si="1"/>
        <v>Descuento</v>
      </c>
      <c r="D33" s="31">
        <f t="shared" ca="1" si="2"/>
        <v>0.25</v>
      </c>
      <c r="E33" s="29" t="str">
        <f t="shared" ca="1" si="3"/>
        <v>✔</v>
      </c>
    </row>
    <row r="34" spans="2:5" x14ac:dyDescent="0.3">
      <c r="B34" s="4">
        <f t="shared" ca="1" si="0"/>
        <v>279000</v>
      </c>
      <c r="C34" s="5" t="str">
        <f t="shared" ca="1" si="1"/>
        <v>Descuento</v>
      </c>
      <c r="D34" s="31">
        <f t="shared" ca="1" si="2"/>
        <v>0.25</v>
      </c>
      <c r="E34" s="29" t="str">
        <f t="shared" ca="1" si="3"/>
        <v>✔</v>
      </c>
    </row>
    <row r="35" spans="2:5" x14ac:dyDescent="0.3">
      <c r="B35" s="4">
        <f t="shared" ca="1" si="0"/>
        <v>15000</v>
      </c>
      <c r="C35" s="5" t="str">
        <f t="shared" ca="1" si="1"/>
        <v>Regalo</v>
      </c>
      <c r="D35" s="31" t="str">
        <f t="shared" ca="1" si="2"/>
        <v>Poster</v>
      </c>
      <c r="E35" s="29" t="str">
        <f t="shared" ca="1" si="3"/>
        <v>✔</v>
      </c>
    </row>
    <row r="36" spans="2:5" x14ac:dyDescent="0.3">
      <c r="B36" s="4">
        <f t="shared" ca="1" si="0"/>
        <v>134000</v>
      </c>
      <c r="C36" s="5" t="str">
        <f t="shared" ca="1" si="1"/>
        <v>Descuento</v>
      </c>
      <c r="D36" s="31">
        <f t="shared" ca="1" si="2"/>
        <v>0.2</v>
      </c>
      <c r="E36" s="29" t="str">
        <f t="shared" ca="1" si="3"/>
        <v>✔</v>
      </c>
    </row>
    <row r="37" spans="2:5" x14ac:dyDescent="0.3">
      <c r="B37" s="4">
        <f t="shared" ca="1" si="0"/>
        <v>192000</v>
      </c>
      <c r="C37" s="5" t="str">
        <f t="shared" ca="1" si="1"/>
        <v>Descuento</v>
      </c>
      <c r="D37" s="31">
        <f t="shared" ca="1" si="2"/>
        <v>0.25</v>
      </c>
      <c r="E37" s="29" t="str">
        <f t="shared" ca="1" si="3"/>
        <v>✔</v>
      </c>
    </row>
    <row r="38" spans="2:5" x14ac:dyDescent="0.3">
      <c r="B38" s="4">
        <f t="shared" ca="1" si="0"/>
        <v>114000</v>
      </c>
      <c r="C38" s="5" t="str">
        <f t="shared" ca="1" si="1"/>
        <v>Regalo</v>
      </c>
      <c r="D38" s="31" t="str">
        <f t="shared" ca="1" si="2"/>
        <v>Libro</v>
      </c>
      <c r="E38" s="29" t="str">
        <f t="shared" ca="1" si="3"/>
        <v>✔</v>
      </c>
    </row>
    <row r="39" spans="2:5" x14ac:dyDescent="0.3">
      <c r="B39" s="4">
        <f t="shared" ca="1" si="0"/>
        <v>24000</v>
      </c>
      <c r="C39" s="5" t="str">
        <f t="shared" ca="1" si="1"/>
        <v>Descuento</v>
      </c>
      <c r="D39" s="31">
        <f t="shared" ca="1" si="2"/>
        <v>0.1</v>
      </c>
      <c r="E39" s="29" t="str">
        <f t="shared" ca="1" si="3"/>
        <v>✔</v>
      </c>
    </row>
    <row r="40" spans="2:5" x14ac:dyDescent="0.3">
      <c r="B40" s="4">
        <f t="shared" ca="1" si="0"/>
        <v>67000</v>
      </c>
      <c r="C40" s="5" t="str">
        <f t="shared" ca="1" si="1"/>
        <v>Comisión de Ventas</v>
      </c>
      <c r="D40" s="31">
        <f t="shared" ca="1" si="2"/>
        <v>500</v>
      </c>
      <c r="E40" s="29" t="str">
        <f t="shared" ca="1" si="3"/>
        <v>✔</v>
      </c>
    </row>
    <row r="41" spans="2:5" x14ac:dyDescent="0.3">
      <c r="B41" s="4">
        <f t="shared" ca="1" si="0"/>
        <v>243000</v>
      </c>
      <c r="C41" s="5" t="str">
        <f t="shared" ca="1" si="1"/>
        <v>Descuento</v>
      </c>
      <c r="D41" s="31">
        <f t="shared" ca="1" si="2"/>
        <v>0.25</v>
      </c>
      <c r="E41" s="29" t="str">
        <f t="shared" ca="1" si="3"/>
        <v>✔</v>
      </c>
    </row>
    <row r="42" spans="2:5" x14ac:dyDescent="0.3">
      <c r="B42" s="4">
        <f t="shared" ca="1" si="0"/>
        <v>50000</v>
      </c>
      <c r="C42" s="5" t="str">
        <f t="shared" ca="1" si="1"/>
        <v>Regalo</v>
      </c>
      <c r="D42" s="31" t="str">
        <f t="shared" ca="1" si="2"/>
        <v>Cuaderno</v>
      </c>
      <c r="E42" s="29" t="str">
        <f t="shared" ca="1" si="3"/>
        <v>✔</v>
      </c>
    </row>
    <row r="43" spans="2:5" x14ac:dyDescent="0.3">
      <c r="B43" s="4">
        <f t="shared" ca="1" si="0"/>
        <v>58000</v>
      </c>
      <c r="C43" s="5" t="str">
        <f t="shared" ca="1" si="1"/>
        <v>Descuento</v>
      </c>
      <c r="D43" s="31">
        <f t="shared" ca="1" si="2"/>
        <v>0.15</v>
      </c>
      <c r="E43" s="29" t="str">
        <f t="shared" ca="1" si="3"/>
        <v>✔</v>
      </c>
    </row>
    <row r="44" spans="2:5" x14ac:dyDescent="0.3">
      <c r="B44" s="4">
        <f t="shared" ca="1" si="0"/>
        <v>38000</v>
      </c>
      <c r="C44" s="5" t="str">
        <f t="shared" ca="1" si="1"/>
        <v>Descuento</v>
      </c>
      <c r="D44" s="31">
        <f t="shared" ca="1" si="2"/>
        <v>0.1</v>
      </c>
      <c r="E44" s="29" t="str">
        <f t="shared" ca="1" si="3"/>
        <v>✔</v>
      </c>
    </row>
    <row r="45" spans="2:5" x14ac:dyDescent="0.3">
      <c r="B45" s="4">
        <f t="shared" ca="1" si="0"/>
        <v>262000</v>
      </c>
      <c r="C45" s="5" t="str">
        <f t="shared" ca="1" si="1"/>
        <v>Regalo</v>
      </c>
      <c r="D45" s="31" t="str">
        <f t="shared" ca="1" si="2"/>
        <v>Bolsa</v>
      </c>
      <c r="E45" s="29" t="str">
        <f t="shared" ca="1" si="3"/>
        <v>✔</v>
      </c>
    </row>
    <row r="46" spans="2:5" x14ac:dyDescent="0.3">
      <c r="B46" s="4">
        <f t="shared" ca="1" si="0"/>
        <v>271000</v>
      </c>
      <c r="C46" s="5" t="str">
        <f t="shared" ca="1" si="1"/>
        <v>Descuento</v>
      </c>
      <c r="D46" s="31">
        <f t="shared" ca="1" si="2"/>
        <v>0.25</v>
      </c>
      <c r="E46" s="29" t="str">
        <f t="shared" ca="1" si="3"/>
        <v>✔</v>
      </c>
    </row>
    <row r="47" spans="2:5" x14ac:dyDescent="0.3">
      <c r="B47" s="4">
        <f t="shared" ca="1" si="0"/>
        <v>183000</v>
      </c>
      <c r="C47" s="5" t="str">
        <f t="shared" ca="1" si="1"/>
        <v>Comisión de Ventas</v>
      </c>
      <c r="D47" s="31">
        <f t="shared" ca="1" si="2"/>
        <v>1500</v>
      </c>
      <c r="E47" s="29" t="str">
        <f t="shared" ca="1" si="3"/>
        <v>✔</v>
      </c>
    </row>
    <row r="48" spans="2:5" x14ac:dyDescent="0.3">
      <c r="B48" s="4">
        <f t="shared" ca="1" si="0"/>
        <v>67000</v>
      </c>
      <c r="C48" s="5" t="str">
        <f t="shared" ca="1" si="1"/>
        <v>Regalo</v>
      </c>
      <c r="D48" s="31" t="str">
        <f t="shared" ca="1" si="2"/>
        <v>Cuaderno</v>
      </c>
      <c r="E48" s="29" t="str">
        <f t="shared" ca="1" si="3"/>
        <v>✔</v>
      </c>
    </row>
    <row r="49" spans="2:5" x14ac:dyDescent="0.3">
      <c r="B49" s="4">
        <f t="shared" ca="1" si="0"/>
        <v>15000</v>
      </c>
      <c r="C49" s="5" t="str">
        <f t="shared" ca="1" si="1"/>
        <v>Comisión de Ventas</v>
      </c>
      <c r="D49" s="31">
        <f t="shared" ca="1" si="2"/>
        <v>100</v>
      </c>
      <c r="E49" s="29" t="str">
        <f t="shared" ca="1" si="3"/>
        <v>✔</v>
      </c>
    </row>
    <row r="50" spans="2:5" x14ac:dyDescent="0.3">
      <c r="B50" s="4">
        <f t="shared" ca="1" si="0"/>
        <v>54000</v>
      </c>
      <c r="C50" s="5" t="str">
        <f t="shared" ca="1" si="1"/>
        <v>Regalo</v>
      </c>
      <c r="D50" s="31" t="str">
        <f t="shared" ca="1" si="2"/>
        <v>Cuaderno</v>
      </c>
      <c r="E50" s="29" t="str">
        <f t="shared" ca="1" si="3"/>
        <v>✔</v>
      </c>
    </row>
    <row r="51" spans="2:5" x14ac:dyDescent="0.3">
      <c r="B51" s="4">
        <f t="shared" ca="1" si="0"/>
        <v>48000</v>
      </c>
      <c r="C51" s="5" t="str">
        <f t="shared" ca="1" si="1"/>
        <v>Descuento</v>
      </c>
      <c r="D51" s="31">
        <f t="shared" ca="1" si="2"/>
        <v>0.1</v>
      </c>
      <c r="E51" s="29" t="str">
        <f t="shared" ca="1" si="3"/>
        <v>✔</v>
      </c>
    </row>
    <row r="52" spans="2:5" x14ac:dyDescent="0.3">
      <c r="B52" s="4">
        <f t="shared" ca="1" si="0"/>
        <v>59000</v>
      </c>
      <c r="C52" s="5" t="str">
        <f t="shared" ca="1" si="1"/>
        <v>Descuento</v>
      </c>
      <c r="D52" s="31">
        <f t="shared" ca="1" si="2"/>
        <v>0.15</v>
      </c>
      <c r="E52" s="29" t="str">
        <f t="shared" ca="1" si="3"/>
        <v>✔</v>
      </c>
    </row>
    <row r="53" spans="2:5" ht="15" thickBot="1" x14ac:dyDescent="0.35">
      <c r="B53" s="6">
        <f t="shared" ca="1" si="0"/>
        <v>206000</v>
      </c>
      <c r="C53" s="7" t="str">
        <f t="shared" ca="1" si="1"/>
        <v>Comisión de Ventas</v>
      </c>
      <c r="D53" s="33">
        <f t="shared" ca="1" si="2"/>
        <v>1500</v>
      </c>
      <c r="E53" s="29" t="str">
        <f t="shared" ca="1" si="3"/>
        <v>✔</v>
      </c>
    </row>
  </sheetData>
  <conditionalFormatting sqref="E28:E53">
    <cfRule type="expression" dxfId="2" priority="1">
      <formula>D28=""</formula>
    </cfRule>
    <cfRule type="cellIs" dxfId="1" priority="2" operator="equal">
      <formula>"✔"</formula>
    </cfRule>
    <cfRule type="containsText" dxfId="0" priority="3" operator="containsText" text="✘">
      <formula>NOT(ISERROR(SEARCH("✘",E28)))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42CC833285B46B5C4014115C780B0" ma:contentTypeVersion="8" ma:contentTypeDescription="Crear nuevo documento." ma:contentTypeScope="" ma:versionID="78c120e0aee8328b842403f484163242">
  <xsd:schema xmlns:xsd="http://www.w3.org/2001/XMLSchema" xmlns:xs="http://www.w3.org/2001/XMLSchema" xmlns:p="http://schemas.microsoft.com/office/2006/metadata/properties" xmlns:ns3="8b663a21-878a-481c-9a9b-888d08a293cc" targetNamespace="http://schemas.microsoft.com/office/2006/metadata/properties" ma:root="true" ma:fieldsID="4f62d8d88e635a1f84306ac14e179ef9" ns3:_="">
    <xsd:import namespace="8b663a21-878a-481c-9a9b-888d08a293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63a21-878a-481c-9a9b-888d08a29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FF28E-CC71-486D-AC17-57E9E3D72A3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EC8DDD-8B99-4E22-B114-BBFECA7C7A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C2F31A-453E-42BA-8F7A-185801942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663a21-878a-481c-9a9b-888d08a29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 Derecha a Izquierda</vt:lpstr>
      <vt:lpstr>Horizontal</vt:lpstr>
      <vt:lpstr>En Filas y Columnas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Stephani De la cruz</cp:lastModifiedBy>
  <dcterms:created xsi:type="dcterms:W3CDTF">2016-05-18T23:09:03Z</dcterms:created>
  <dcterms:modified xsi:type="dcterms:W3CDTF">2026-02-08T01:02:37Z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0x01010093242CC833285B46B5C4014115C780B0</vt:lpwstr>
  </property>
</Properties>
</file>