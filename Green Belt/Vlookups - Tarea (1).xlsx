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C:\Users\Stephani de La Cruz\Downloads\"/>
    </mc:Choice>
  </mc:AlternateContent>
  <xr:revisionPtr revIDLastSave="0" documentId="13_ncr:1_{10FD4F11-A8C2-47AE-96B9-34CEB7B3C7D4}" xr6:coauthVersionLast="47" xr6:coauthVersionMax="47" xr10:uidLastSave="{00000000-0000-0000-0000-000000000000}"/>
  <bookViews>
    <workbookView xWindow="28680" yWindow="-120" windowWidth="29040" windowHeight="15720" activeTab="3" xr2:uid="{00000000-000D-0000-FFFF-FFFF00000000}"/>
  </bookViews>
  <sheets>
    <sheet name="BuscarV Simple" sheetId="1" r:id="rId1"/>
    <sheet name="BuscarV Lista Validada" sheetId="2" r:id="rId2"/>
    <sheet name="BuscarV Rangos" sheetId="3" r:id="rId3"/>
    <sheet name="BuscarV Tablas Múltiples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E19" i="2" l="1"/>
  <c r="F19" i="2"/>
  <c r="G19" i="2"/>
  <c r="D19" i="2"/>
  <c r="D10" i="4" a="1"/>
  <c r="D10" i="4" s="1"/>
  <c r="E10" i="4" s="1"/>
  <c r="D14" i="4" a="1"/>
  <c r="D14" i="4" s="1"/>
  <c r="E14" i="4" s="1"/>
  <c r="D15" i="4" a="1"/>
  <c r="D15" i="4" s="1"/>
  <c r="E15" i="4" s="1"/>
  <c r="D16" i="4" a="1"/>
  <c r="D16" i="4"/>
  <c r="D17" i="4" a="1"/>
  <c r="D17" i="4" s="1"/>
  <c r="E17" i="4" s="1"/>
  <c r="D18" i="4" a="1"/>
  <c r="D18" i="4" s="1"/>
  <c r="E18" i="4" s="1"/>
  <c r="D19" i="4" a="1"/>
  <c r="D19" i="4" s="1"/>
  <c r="E19" i="4" s="1"/>
  <c r="D20" i="4" a="1"/>
  <c r="D20" i="4" s="1"/>
  <c r="E20" i="4" s="1"/>
  <c r="D21" i="4" a="1"/>
  <c r="D21" i="4" s="1"/>
  <c r="E21" i="4" s="1"/>
  <c r="D22" i="4" a="1"/>
  <c r="D22" i="4" s="1"/>
  <c r="E22" i="4" s="1"/>
  <c r="D23" i="4" a="1"/>
  <c r="D23" i="4" s="1"/>
  <c r="E23" i="4" s="1"/>
  <c r="D24" i="4" a="1"/>
  <c r="D24" i="4" s="1"/>
  <c r="E24" i="4" s="1"/>
  <c r="D25" i="4" a="1"/>
  <c r="D25" i="4" s="1"/>
  <c r="E25" i="4" s="1"/>
  <c r="D26" i="4" a="1"/>
  <c r="D26" i="4" s="1"/>
  <c r="E26" i="4" s="1"/>
  <c r="D27" i="4" a="1"/>
  <c r="D27" i="4" s="1"/>
  <c r="E27" i="4" s="1"/>
  <c r="D28" i="4" a="1"/>
  <c r="D28" i="4"/>
  <c r="E28" i="4" s="1"/>
  <c r="D29" i="4" a="1"/>
  <c r="D29" i="4"/>
  <c r="E29" i="4" s="1"/>
  <c r="D30" i="4" a="1"/>
  <c r="D30" i="4"/>
  <c r="E30" i="4" s="1"/>
  <c r="D31" i="4" a="1"/>
  <c r="D31" i="4"/>
  <c r="E31" i="4" s="1"/>
  <c r="D32" i="4" a="1"/>
  <c r="D32" i="4"/>
  <c r="E32" i="4" s="1"/>
  <c r="D33" i="4" a="1"/>
  <c r="D33" i="4"/>
  <c r="E33" i="4" s="1"/>
  <c r="D34" i="4" a="1"/>
  <c r="D34" i="4"/>
  <c r="E34" i="4" s="1"/>
  <c r="D35" i="4" a="1"/>
  <c r="D35" i="4"/>
  <c r="E35" i="4" s="1"/>
  <c r="D36" i="4" a="1"/>
  <c r="D36" i="4"/>
  <c r="E36" i="4" s="1"/>
  <c r="D37" i="4" a="1"/>
  <c r="D37" i="4" s="1"/>
  <c r="E37" i="4" s="1"/>
  <c r="D38" i="4" a="1"/>
  <c r="D38" i="4" s="1"/>
  <c r="E38" i="4" s="1"/>
  <c r="D39" i="4" a="1"/>
  <c r="D39" i="4" s="1"/>
  <c r="E39" i="4" s="1"/>
  <c r="D40" i="4" a="1"/>
  <c r="D40" i="4" s="1"/>
  <c r="E40" i="4" s="1"/>
  <c r="D41" i="4" a="1"/>
  <c r="D41" i="4" s="1"/>
  <c r="E41" i="4" s="1"/>
  <c r="D42" i="4" a="1"/>
  <c r="D42" i="4"/>
  <c r="E42" i="4" s="1"/>
  <c r="D43" i="4" a="1"/>
  <c r="D43" i="4"/>
  <c r="E43" i="4" s="1"/>
  <c r="D44" i="4" a="1"/>
  <c r="D44" i="4"/>
  <c r="E44" i="4" s="1"/>
  <c r="D45" i="4" a="1"/>
  <c r="D45" i="4"/>
  <c r="E45" i="4" s="1"/>
  <c r="D46" i="4" a="1"/>
  <c r="D46" i="4"/>
  <c r="E46" i="4" s="1"/>
  <c r="D47" i="4" a="1"/>
  <c r="D47" i="4"/>
  <c r="E47" i="4" s="1"/>
  <c r="D48" i="4" a="1"/>
  <c r="D48" i="4"/>
  <c r="E48" i="4" s="1"/>
  <c r="D49" i="4" a="1"/>
  <c r="D49" i="4" s="1"/>
  <c r="E49" i="4" s="1"/>
  <c r="D50" i="4" a="1"/>
  <c r="D50" i="4" s="1"/>
  <c r="E50" i="4" s="1"/>
  <c r="D51" i="4" a="1"/>
  <c r="D51" i="4" s="1"/>
  <c r="E51" i="4" s="1"/>
  <c r="D52" i="4" a="1"/>
  <c r="D52" i="4" s="1"/>
  <c r="E52" i="4" s="1"/>
  <c r="D53" i="4" a="1"/>
  <c r="D53" i="4" s="1"/>
  <c r="E53" i="4" s="1"/>
  <c r="D54" i="4" a="1"/>
  <c r="D54" i="4" s="1"/>
  <c r="E54" i="4" s="1"/>
  <c r="D55" i="4" a="1"/>
  <c r="D55" i="4" s="1"/>
  <c r="E55" i="4" s="1"/>
  <c r="D56" i="4" a="1"/>
  <c r="D56" i="4"/>
  <c r="E56" i="4" s="1"/>
  <c r="D57" i="4" a="1"/>
  <c r="D57" i="4"/>
  <c r="E57" i="4" s="1"/>
  <c r="D58" i="4" a="1"/>
  <c r="D58" i="4"/>
  <c r="E58" i="4" s="1"/>
  <c r="D59" i="4" a="1"/>
  <c r="D59" i="4"/>
  <c r="E59" i="4" s="1"/>
  <c r="D60" i="4" a="1"/>
  <c r="D60" i="4"/>
  <c r="E60" i="4" s="1"/>
  <c r="D61" i="4" a="1"/>
  <c r="D61" i="4"/>
  <c r="E61" i="4" s="1"/>
  <c r="D62" i="4" a="1"/>
  <c r="D62" i="4"/>
  <c r="E62" i="4" s="1"/>
  <c r="D63" i="4" a="1"/>
  <c r="D63" i="4" s="1"/>
  <c r="E63" i="4" s="1"/>
  <c r="D64" i="4" a="1"/>
  <c r="D64" i="4" s="1"/>
  <c r="E64" i="4" s="1"/>
  <c r="D65" i="4" a="1"/>
  <c r="D65" i="4" s="1"/>
  <c r="E65" i="4" s="1"/>
  <c r="D66" i="4" a="1"/>
  <c r="D66" i="4" s="1"/>
  <c r="E66" i="4" s="1"/>
  <c r="D67" i="4" a="1"/>
  <c r="D67" i="4" s="1"/>
  <c r="E67" i="4" s="1"/>
  <c r="D68" i="4" a="1"/>
  <c r="D68" i="4" s="1"/>
  <c r="E68" i="4" s="1"/>
  <c r="D69" i="4" a="1"/>
  <c r="D69" i="4" s="1"/>
  <c r="E69" i="4" s="1"/>
  <c r="D70" i="4" a="1"/>
  <c r="D70" i="4"/>
  <c r="E70" i="4" s="1"/>
  <c r="D71" i="4" a="1"/>
  <c r="D71" i="4"/>
  <c r="E71" i="4" s="1"/>
  <c r="D72" i="4" a="1"/>
  <c r="D72" i="4"/>
  <c r="E72" i="4" s="1"/>
  <c r="D73" i="4" a="1"/>
  <c r="D73" i="4"/>
  <c r="E73" i="4" s="1"/>
  <c r="D74" i="4" a="1"/>
  <c r="D74" i="4"/>
  <c r="E74" i="4" s="1"/>
  <c r="D75" i="4" a="1"/>
  <c r="D75" i="4"/>
  <c r="E75" i="4" s="1"/>
  <c r="D76" i="4" a="1"/>
  <c r="D76" i="4"/>
  <c r="E76" i="4" s="1"/>
  <c r="D77" i="4" a="1"/>
  <c r="D77" i="4" s="1"/>
  <c r="E77" i="4" s="1"/>
  <c r="D78" i="4" a="1"/>
  <c r="D78" i="4" s="1"/>
  <c r="E78" i="4" s="1"/>
  <c r="D79" i="4" a="1"/>
  <c r="D79" i="4" s="1"/>
  <c r="E79" i="4" s="1"/>
  <c r="D80" i="4" a="1"/>
  <c r="D80" i="4" s="1"/>
  <c r="E80" i="4" s="1"/>
  <c r="D81" i="4" a="1"/>
  <c r="D81" i="4" s="1"/>
  <c r="E81" i="4" s="1"/>
  <c r="D82" i="4" a="1"/>
  <c r="D82" i="4" s="1"/>
  <c r="E82" i="4" s="1"/>
  <c r="D83" i="4" a="1"/>
  <c r="D83" i="4" s="1"/>
  <c r="E83" i="4" s="1"/>
  <c r="D84" i="4" a="1"/>
  <c r="D84" i="4"/>
  <c r="E84" i="4" s="1"/>
  <c r="D85" i="4" a="1"/>
  <c r="D85" i="4"/>
  <c r="E85" i="4" s="1"/>
  <c r="D86" i="4" a="1"/>
  <c r="D86" i="4"/>
  <c r="E86" i="4" s="1"/>
  <c r="D87" i="4" a="1"/>
  <c r="D87" i="4"/>
  <c r="E87" i="4" s="1"/>
  <c r="D88" i="4" a="1"/>
  <c r="D88" i="4"/>
  <c r="E88" i="4" s="1"/>
  <c r="D89" i="4" a="1"/>
  <c r="D89" i="4"/>
  <c r="E89" i="4" s="1"/>
  <c r="D90" i="4" a="1"/>
  <c r="D90" i="4"/>
  <c r="E90" i="4" s="1"/>
  <c r="D91" i="4" a="1"/>
  <c r="D91" i="4"/>
  <c r="E91" i="4" s="1"/>
  <c r="D92" i="4" a="1"/>
  <c r="D92" i="4"/>
  <c r="E92" i="4" s="1"/>
  <c r="D93" i="4" a="1"/>
  <c r="D93" i="4"/>
  <c r="E93" i="4" s="1"/>
  <c r="D94" i="4" a="1"/>
  <c r="D94" i="4" s="1"/>
  <c r="E94" i="4" s="1"/>
  <c r="D95" i="4" a="1"/>
  <c r="D95" i="4" s="1"/>
  <c r="E95" i="4" s="1"/>
  <c r="D96" i="4" a="1"/>
  <c r="D96" i="4" s="1"/>
  <c r="E96" i="4" s="1"/>
  <c r="D97" i="4" a="1"/>
  <c r="D97" i="4" s="1"/>
  <c r="E97" i="4" s="1"/>
  <c r="D98" i="4" a="1"/>
  <c r="D98" i="4"/>
  <c r="E98" i="4" s="1"/>
  <c r="D99" i="4" a="1"/>
  <c r="D99" i="4"/>
  <c r="E99" i="4" s="1"/>
  <c r="D100" i="4" a="1"/>
  <c r="D100" i="4"/>
  <c r="E100" i="4" s="1"/>
  <c r="D101" i="4" a="1"/>
  <c r="D101" i="4"/>
  <c r="E101" i="4" s="1"/>
  <c r="D102" i="4" a="1"/>
  <c r="D102" i="4"/>
  <c r="E102" i="4" s="1"/>
  <c r="D103" i="4" a="1"/>
  <c r="D103" i="4"/>
  <c r="E103" i="4" s="1"/>
  <c r="D104" i="4" a="1"/>
  <c r="D104" i="4"/>
  <c r="E104" i="4" s="1"/>
  <c r="D105" i="4" a="1"/>
  <c r="D105" i="4"/>
  <c r="E105" i="4" s="1"/>
  <c r="D106" i="4" a="1"/>
  <c r="D106" i="4"/>
  <c r="E106" i="4" s="1"/>
  <c r="D107" i="4" a="1"/>
  <c r="D107" i="4"/>
  <c r="E107" i="4" s="1"/>
  <c r="D108" i="4" a="1"/>
  <c r="D108" i="4"/>
  <c r="E108" i="4" s="1"/>
  <c r="D109" i="4" a="1"/>
  <c r="D109" i="4"/>
  <c r="E109" i="4" s="1"/>
  <c r="D110" i="4" a="1"/>
  <c r="D110" i="4" s="1"/>
  <c r="E110" i="4" s="1"/>
  <c r="D111" i="4" a="1"/>
  <c r="D111" i="4" s="1"/>
  <c r="E111" i="4" s="1"/>
  <c r="D112" i="4" a="1"/>
  <c r="D112" i="4"/>
  <c r="E112" i="4" s="1"/>
  <c r="D113" i="4" a="1"/>
  <c r="D113" i="4"/>
  <c r="E113" i="4" s="1"/>
  <c r="D114" i="4" a="1"/>
  <c r="D114" i="4"/>
  <c r="E114" i="4" s="1"/>
  <c r="D115" i="4" a="1"/>
  <c r="D115" i="4"/>
  <c r="E115" i="4" s="1"/>
  <c r="D116" i="4" a="1"/>
  <c r="D116" i="4"/>
  <c r="E116" i="4" s="1"/>
  <c r="D117" i="4" a="1"/>
  <c r="D117" i="4"/>
  <c r="E117" i="4" s="1"/>
  <c r="D118" i="4" a="1"/>
  <c r="D118" i="4"/>
  <c r="E118" i="4" s="1"/>
  <c r="D119" i="4" a="1"/>
  <c r="D119" i="4"/>
  <c r="E119" i="4" s="1"/>
  <c r="D120" i="4" a="1"/>
  <c r="D120" i="4"/>
  <c r="E120" i="4" s="1"/>
  <c r="D121" i="4" a="1"/>
  <c r="D121" i="4"/>
  <c r="E121" i="4" s="1"/>
  <c r="D13" i="4" a="1"/>
  <c r="D13" i="4" s="1"/>
  <c r="E13" i="4" s="1"/>
  <c r="E16" i="4"/>
  <c r="D15" i="2"/>
  <c r="D17" i="1"/>
  <c r="D13" i="1"/>
  <c r="C15" i="3" l="1"/>
  <c r="D15" i="3" s="1"/>
  <c r="C16" i="3"/>
  <c r="D16" i="3" s="1"/>
  <c r="C17" i="3"/>
  <c r="D17" i="3" s="1"/>
  <c r="C18" i="3"/>
  <c r="D18" i="3" s="1"/>
  <c r="C19" i="3"/>
  <c r="D19" i="3" s="1"/>
  <c r="C20" i="3"/>
  <c r="D20" i="3" s="1"/>
  <c r="C21" i="3"/>
  <c r="D21" i="3" s="1"/>
  <c r="C22" i="3"/>
  <c r="D22" i="3" s="1"/>
  <c r="C23" i="3"/>
  <c r="D23" i="3" s="1"/>
  <c r="C24" i="3"/>
  <c r="D24" i="3" s="1"/>
  <c r="C25" i="3"/>
  <c r="D25" i="3" s="1"/>
  <c r="C26" i="3"/>
  <c r="D26" i="3" s="1"/>
  <c r="C27" i="3"/>
  <c r="D27" i="3" s="1"/>
  <c r="C28" i="3"/>
  <c r="D28" i="3" s="1"/>
  <c r="C29" i="3"/>
  <c r="D29" i="3" s="1"/>
  <c r="C30" i="3"/>
  <c r="D30" i="3" s="1"/>
  <c r="C31" i="3"/>
  <c r="D31" i="3" s="1"/>
  <c r="C32" i="3"/>
  <c r="D32" i="3" s="1"/>
  <c r="C33" i="3"/>
  <c r="D33" i="3" s="1"/>
  <c r="C34" i="3"/>
  <c r="D34" i="3" s="1"/>
  <c r="C35" i="3"/>
  <c r="D35" i="3" s="1"/>
  <c r="C36" i="3"/>
  <c r="D36" i="3" s="1"/>
  <c r="C37" i="3"/>
  <c r="D37" i="3" s="1"/>
  <c r="C38" i="3"/>
  <c r="D38" i="3" s="1"/>
  <c r="C39" i="3"/>
  <c r="D39" i="3" s="1"/>
  <c r="C40" i="3"/>
  <c r="D40" i="3" s="1"/>
  <c r="C41" i="3"/>
  <c r="D41" i="3" s="1"/>
  <c r="C42" i="3"/>
  <c r="D42" i="3" s="1"/>
  <c r="C43" i="3"/>
  <c r="D43" i="3" s="1"/>
  <c r="C14" i="3"/>
  <c r="D14" i="3" s="1"/>
  <c r="J10" i="2"/>
  <c r="J10" i="1" l="1"/>
</calcChain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<sst xmlns="http://schemas.openxmlformats.org/spreadsheetml/2006/main" count="259" uniqueCount="92">
  <si>
    <t>NOMBRE DEL ALUMNO</t>
  </si>
  <si>
    <t>CRISTINA GONZALEZ</t>
  </si>
  <si>
    <t>GRUPO: Lun Mie Vie</t>
  </si>
  <si>
    <t>ITESO,  Verano 2014</t>
  </si>
  <si>
    <t>CALCULO INTEGRAL</t>
  </si>
  <si>
    <t>Examen</t>
  </si>
  <si>
    <t>Proyecto</t>
  </si>
  <si>
    <t>Tareas</t>
  </si>
  <si>
    <t>Participación</t>
  </si>
  <si>
    <t>FINAL</t>
  </si>
  <si>
    <t>Calificaciones de Grupo</t>
  </si>
  <si>
    <t>Nombre del Alumno</t>
  </si>
  <si>
    <t>Calificación Final</t>
  </si>
  <si>
    <t>Gamboa Douglas Ana Sofía</t>
  </si>
  <si>
    <t>Andalón Chavez Alexis Guillermo</t>
  </si>
  <si>
    <t>Arriaga Hernández Josefina Esmeralda</t>
  </si>
  <si>
    <t>Canale Chombo Alejandro</t>
  </si>
  <si>
    <t>Chavez Gaytan Fernando Uriel</t>
  </si>
  <si>
    <t>Corona Macías Elia Carolina</t>
  </si>
  <si>
    <t>Gómez Gómez Águeda</t>
  </si>
  <si>
    <t>Gonzalez Ceja Rafael</t>
  </si>
  <si>
    <t>Gutiérrez Ramírez Guillermo</t>
  </si>
  <si>
    <t>Hernández García Armando</t>
  </si>
  <si>
    <t>Herrera Valdez Luis Alfonso</t>
  </si>
  <si>
    <t>Irazoqui Ruelas Daniela</t>
  </si>
  <si>
    <t>Jaime García Luisa Fernanda</t>
  </si>
  <si>
    <t>Leach Zepeda Fernando</t>
  </si>
  <si>
    <t>López Salas Diego</t>
  </si>
  <si>
    <t>Martin Del Campo Flores Arturo Alberto</t>
  </si>
  <si>
    <t>Medina Camacho Mari Karla</t>
  </si>
  <si>
    <t>Mendoza Mujica Josué Israel</t>
  </si>
  <si>
    <t>Morales Bravo Mercedes</t>
  </si>
  <si>
    <t>Nava Mier Arturo</t>
  </si>
  <si>
    <t>Navar Mendivil Dhyana Irizaida</t>
  </si>
  <si>
    <t>Olivares Ramírez Luis Israel</t>
  </si>
  <si>
    <t>Pérez Ambriz Martha Laura</t>
  </si>
  <si>
    <t>Sepúlveda Castro Valeria</t>
  </si>
  <si>
    <t>Zuno Alcázar Jonathan</t>
  </si>
  <si>
    <t>Puntaje de Tareas</t>
  </si>
  <si>
    <t>#</t>
  </si>
  <si>
    <t>Suma de Tareas y Participación</t>
  </si>
  <si>
    <t>Costo</t>
  </si>
  <si>
    <t>Impresiones a Color en Opalina</t>
  </si>
  <si>
    <t>Concepto</t>
  </si>
  <si>
    <t>Cantidad</t>
  </si>
  <si>
    <t>Total</t>
  </si>
  <si>
    <t>Impresiones a Color Laminadas</t>
  </si>
  <si>
    <t>Impresiones en Blanco y Negro</t>
  </si>
  <si>
    <t>Impresiones a Color</t>
  </si>
  <si>
    <t>Ventas totales del Mes</t>
  </si>
  <si>
    <t>Ventas Totales por Mes</t>
  </si>
  <si>
    <t>Ingreso</t>
  </si>
  <si>
    <t>Ingreso Mensual (hasta)</t>
  </si>
  <si>
    <t>Categoría de Cliente por Ingreso</t>
  </si>
  <si>
    <t>Categoría</t>
  </si>
  <si>
    <t>Básico</t>
  </si>
  <si>
    <t>Básico Plus</t>
  </si>
  <si>
    <t>Platino</t>
  </si>
  <si>
    <t>Oro</t>
  </si>
  <si>
    <t>Premier</t>
  </si>
  <si>
    <t>Ejecutivo</t>
  </si>
  <si>
    <t># de Cliente</t>
  </si>
  <si>
    <t>K-121</t>
  </si>
  <si>
    <t>K-122</t>
  </si>
  <si>
    <t>K-123</t>
  </si>
  <si>
    <t>K-124</t>
  </si>
  <si>
    <t>K-125</t>
  </si>
  <si>
    <t>K-126</t>
  </si>
  <si>
    <t>K-127</t>
  </si>
  <si>
    <t>K-128</t>
  </si>
  <si>
    <t>K-129</t>
  </si>
  <si>
    <t>K-130</t>
  </si>
  <si>
    <t>K-131</t>
  </si>
  <si>
    <t>K-132</t>
  </si>
  <si>
    <t>K-133</t>
  </si>
  <si>
    <t>K-134</t>
  </si>
  <si>
    <t>K-135</t>
  </si>
  <si>
    <t>K-136</t>
  </si>
  <si>
    <t>K-137</t>
  </si>
  <si>
    <t>K-138</t>
  </si>
  <si>
    <t>K-139</t>
  </si>
  <si>
    <t>K-140</t>
  </si>
  <si>
    <t>K-141</t>
  </si>
  <si>
    <t>K-142</t>
  </si>
  <si>
    <t>K-143</t>
  </si>
  <si>
    <t>K-144</t>
  </si>
  <si>
    <t>K-145</t>
  </si>
  <si>
    <t>K-146</t>
  </si>
  <si>
    <t>K-147</t>
  </si>
  <si>
    <t>K-148</t>
  </si>
  <si>
    <t>K-149</t>
  </si>
  <si>
    <t>K-150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</si>
</sst>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$&quot;#,##0.00;[Red]\-&quot;$&quot;#,##0.00"/>
    <numFmt numFmtId="165" formatCode="_-&quot;$&quot;* #,##0.00_-;\-&quot;$&quot;* #,##0.00_-;_-&quot;$&quot;* &quot;-&quot;??_-;_-@_-"/>
  </numFmts>
  <fonts count="12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5"/>
      <color theme="3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10"/>
      <name val="Arial"/>
      <family val="2"/>
    </font>
    <font>
      <b/>
      <sz val="10"/>
      <color theme="0"/>
      <name val="Arial"/>
      <family val="2"/>
    </font>
    <font>
      <b/>
      <sz val="11"/>
      <color theme="1"/>
      <name val="Calibri"/>
      <family val="2"/>
      <scheme val="minor"/>
    </font>
    <font>
      <sz val="10"/>
      <color theme="1"/>
      <name val="Arial"/>
    </font>
    <font>
      <sz val="1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5"/>
      </patternFill>
    </fill>
    <fill>
      <patternFill patternType="solid">
        <fgColor theme="7" tint="0.39997558519241921"/>
        <bgColor indexed="65"/>
      </patternFill>
    </fill>
    <fill>
      <patternFill patternType="solid">
        <fgColor indexed="41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8"/>
      </patternFill>
    </fill>
    <fill>
      <patternFill patternType="solid">
        <fgColor theme="7" tint="0.39997558519241921"/>
        <bgColor indexed="64"/>
      </patternFill>
    </fill>
  </fills>
  <borders count="24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</borders>
  <cellStyleXfs count="6">
    <xf numFmtId="0" fontId="0" fillId="0" borderId="0"/>
    <xf numFmtId="165" fontId="2" fillId="0" borderId="0" applyFont="0" applyFill="0" applyBorder="0" applyAlignment="0" applyProtection="0"/>
    <xf numFmtId="0" fontId="3" fillId="0" borderId="1" applyNumberFormat="0" applyFill="0" applyAlignment="0" applyProtection="0"/>
    <xf numFmtId="0" fontId="5" fillId="2" borderId="0" applyNumberFormat="0" applyBorder="0" applyAlignment="0" applyProtection="0"/>
    <xf numFmtId="0" fontId="5" fillId="3" borderId="0" applyNumberFormat="0" applyBorder="0" applyAlignment="0" applyProtection="0"/>
    <xf numFmtId="0" fontId="5" fillId="9" borderId="0" applyNumberFormat="0" applyBorder="0" applyAlignment="0" applyProtection="0"/>
  </cellStyleXfs>
  <cellXfs count="59">
    <xf numFmtId="0" fontId="0" fillId="0" borderId="0" xfId="0"/>
    <xf numFmtId="2" fontId="0" fillId="0" borderId="5" xfId="0" applyNumberFormat="1" applyBorder="1"/>
    <xf numFmtId="0" fontId="6" fillId="5" borderId="2" xfId="0" applyFont="1" applyFill="1" applyBorder="1"/>
    <xf numFmtId="0" fontId="6" fillId="6" borderId="2" xfId="0" applyFont="1" applyFill="1" applyBorder="1"/>
    <xf numFmtId="2" fontId="0" fillId="0" borderId="0" xfId="0" applyNumberFormat="1"/>
    <xf numFmtId="0" fontId="0" fillId="4" borderId="3" xfId="0" applyFill="1" applyBorder="1"/>
    <xf numFmtId="0" fontId="0" fillId="4" borderId="6" xfId="0" applyFill="1" applyBorder="1"/>
    <xf numFmtId="0" fontId="0" fillId="4" borderId="2" xfId="0" applyFill="1" applyBorder="1"/>
    <xf numFmtId="0" fontId="7" fillId="0" borderId="0" xfId="0" applyFont="1"/>
    <xf numFmtId="0" fontId="7" fillId="4" borderId="0" xfId="0" applyFont="1" applyFill="1"/>
    <xf numFmtId="0" fontId="7" fillId="4" borderId="2" xfId="0" applyFont="1" applyFill="1" applyBorder="1"/>
    <xf numFmtId="0" fontId="0" fillId="0" borderId="10" xfId="0" applyBorder="1"/>
    <xf numFmtId="0" fontId="0" fillId="0" borderId="11" xfId="0" applyBorder="1"/>
    <xf numFmtId="0" fontId="0" fillId="0" borderId="12" xfId="0" applyBorder="1"/>
    <xf numFmtId="0" fontId="0" fillId="0" borderId="13" xfId="0" applyBorder="1"/>
    <xf numFmtId="0" fontId="0" fillId="0" borderId="14" xfId="0" applyBorder="1"/>
    <xf numFmtId="14" fontId="0" fillId="0" borderId="0" xfId="0" applyNumberFormat="1"/>
    <xf numFmtId="0" fontId="6" fillId="4" borderId="15" xfId="0" applyFont="1" applyFill="1" applyBorder="1"/>
    <xf numFmtId="2" fontId="0" fillId="4" borderId="15" xfId="0" applyNumberFormat="1" applyFill="1" applyBorder="1"/>
    <xf numFmtId="0" fontId="0" fillId="0" borderId="16" xfId="0" applyBorder="1"/>
    <xf numFmtId="2" fontId="0" fillId="4" borderId="17" xfId="0" applyNumberFormat="1" applyFill="1" applyBorder="1"/>
    <xf numFmtId="2" fontId="0" fillId="4" borderId="18" xfId="0" applyNumberFormat="1" applyFill="1" applyBorder="1"/>
    <xf numFmtId="0" fontId="0" fillId="0" borderId="19" xfId="0" applyBorder="1"/>
    <xf numFmtId="0" fontId="7" fillId="0" borderId="13" xfId="0" applyFont="1" applyBorder="1"/>
    <xf numFmtId="0" fontId="8" fillId="7" borderId="10" xfId="0" applyFont="1" applyFill="1" applyBorder="1"/>
    <xf numFmtId="0" fontId="8" fillId="8" borderId="12" xfId="0" applyFont="1" applyFill="1" applyBorder="1"/>
    <xf numFmtId="0" fontId="8" fillId="8" borderId="11" xfId="0" applyFont="1" applyFill="1" applyBorder="1"/>
    <xf numFmtId="0" fontId="8" fillId="7" borderId="9" xfId="0" applyFont="1" applyFill="1" applyBorder="1"/>
    <xf numFmtId="0" fontId="4" fillId="2" borderId="10" xfId="3" applyFont="1" applyBorder="1" applyAlignment="1">
      <alignment horizontal="center" wrapText="1"/>
    </xf>
    <xf numFmtId="0" fontId="4" fillId="2" borderId="12" xfId="3" applyFont="1" applyBorder="1" applyAlignment="1">
      <alignment vertical="center"/>
    </xf>
    <xf numFmtId="0" fontId="0" fillId="0" borderId="13" xfId="0" applyBorder="1" applyAlignment="1">
      <alignment horizontal="center" vertical="center"/>
    </xf>
    <xf numFmtId="165" fontId="0" fillId="0" borderId="14" xfId="1" applyFont="1" applyBorder="1"/>
    <xf numFmtId="0" fontId="0" fillId="0" borderId="16" xfId="0" applyBorder="1" applyAlignment="1">
      <alignment horizontal="center" vertical="center"/>
    </xf>
    <xf numFmtId="165" fontId="0" fillId="0" borderId="20" xfId="1" applyFont="1" applyBorder="1"/>
    <xf numFmtId="0" fontId="4" fillId="2" borderId="12" xfId="3" applyFont="1" applyBorder="1"/>
    <xf numFmtId="3" fontId="0" fillId="0" borderId="21" xfId="0" applyNumberFormat="1" applyBorder="1" applyAlignment="1">
      <alignment horizontal="center"/>
    </xf>
    <xf numFmtId="3" fontId="0" fillId="0" borderId="22" xfId="0" applyNumberFormat="1" applyBorder="1" applyAlignment="1">
      <alignment horizontal="center"/>
    </xf>
    <xf numFmtId="3" fontId="0" fillId="0" borderId="19" xfId="0" applyNumberFormat="1" applyBorder="1" applyAlignment="1">
      <alignment horizontal="center"/>
    </xf>
    <xf numFmtId="164" fontId="0" fillId="0" borderId="10" xfId="0" applyNumberFormat="1" applyBorder="1"/>
    <xf numFmtId="164" fontId="0" fillId="0" borderId="13" xfId="0" applyNumberFormat="1" applyBorder="1"/>
    <xf numFmtId="164" fontId="0" fillId="0" borderId="16" xfId="0" applyNumberFormat="1" applyBorder="1"/>
    <xf numFmtId="0" fontId="0" fillId="0" borderId="20" xfId="0" applyBorder="1"/>
    <xf numFmtId="164" fontId="0" fillId="0" borderId="11" xfId="0" applyNumberFormat="1" applyBorder="1"/>
    <xf numFmtId="164" fontId="0" fillId="0" borderId="0" xfId="0" applyNumberFormat="1"/>
    <xf numFmtId="164" fontId="0" fillId="0" borderId="5" xfId="0" applyNumberFormat="1" applyBorder="1"/>
    <xf numFmtId="0" fontId="0" fillId="10" borderId="12" xfId="0" applyFill="1" applyBorder="1"/>
    <xf numFmtId="0" fontId="0" fillId="10" borderId="14" xfId="0" applyFill="1" applyBorder="1"/>
    <xf numFmtId="0" fontId="0" fillId="10" borderId="20" xfId="0" applyFill="1" applyBorder="1"/>
    <xf numFmtId="0" fontId="4" fillId="9" borderId="0" xfId="5" applyFont="1" applyAlignment="1">
      <alignment horizontal="center"/>
    </xf>
    <xf numFmtId="0" fontId="10" fillId="0" borderId="23" xfId="0" applyFont="1" applyBorder="1" applyAlignment="1">
      <alignment horizontal="center"/>
    </xf>
    <xf numFmtId="0" fontId="10" fillId="0" borderId="4" xfId="0" applyFont="1" applyBorder="1" applyAlignment="1">
      <alignment horizontal="center"/>
    </xf>
    <xf numFmtId="0" fontId="10" fillId="0" borderId="7" xfId="0" applyFont="1" applyBorder="1" applyAlignment="1">
      <alignment horizontal="center"/>
    </xf>
    <xf numFmtId="165" fontId="1" fillId="3" borderId="12" xfId="1" applyFont="1" applyFill="1" applyBorder="1"/>
    <xf numFmtId="0" fontId="6" fillId="0" borderId="0" xfId="0" applyFont="1" applyAlignment="1">
      <alignment horizontal="center"/>
    </xf>
    <xf numFmtId="0" fontId="3" fillId="0" borderId="1" xfId="2" applyAlignment="1">
      <alignment horizontal="center"/>
    </xf>
    <xf numFmtId="165" fontId="9" fillId="3" borderId="9" xfId="4" applyNumberFormat="1" applyFont="1" applyBorder="1"/>
    <xf numFmtId="2" fontId="0" fillId="0" borderId="0" xfId="0" applyNumberFormat="1" applyFill="1" applyBorder="1"/>
    <xf numFmtId="0" fontId="11" fillId="3" borderId="17" xfId="4" applyFont="1" applyBorder="1"/>
    <xf numFmtId="0" fontId="11" fillId="3" borderId="8" xfId="4" applyFont="1" applyBorder="1"/>
  </cellXfs>
  <cellStyles count="6">
    <cellStyle name="60% - Énfasis4" xfId="4" builtinId="44"/>
    <cellStyle name="Encabezado 1" xfId="2" builtinId="16"/>
    <cellStyle name="Énfasis2" xfId="3" builtinId="33"/>
    <cellStyle name="Énfasis5" xfId="5" builtinId="45"/>
    <cellStyle name="Moneda" xfId="1" builtinId="4"/>
    <cellStyle name="Normal" xfId="0" builtinId="0"/>
  </cellStyles>
  <dxfs count="7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theme="0"/>
      </font>
      <fill>
        <patternFill>
          <bgColor theme="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indexed="43"/>
        </patternFill>
      </fill>
    </dxf>
    <dxf>
      <fill>
        <patternFill>
          <bgColor indexed="43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1</xdr:rowOff>
    </xdr:from>
    <xdr:to>
      <xdr:col>5</xdr:col>
      <xdr:colOff>390525</xdr:colOff>
      <xdr:row>9</xdr:row>
      <xdr:rowOff>114301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SpPr/>
      </xdr:nvSpPr>
      <xdr:spPr>
        <a:xfrm>
          <a:off x="1295400" y="590551"/>
          <a:ext cx="5419725" cy="93345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1"/>
            <a:t>Instrucciones</a:t>
          </a:r>
        </a:p>
        <a:p>
          <a:pPr algn="l"/>
          <a:r>
            <a:rPr lang="es-MX" sz="1100"/>
            <a:t>Rellena las celdas en amarillo </a:t>
          </a:r>
          <a:r>
            <a:rPr lang="es-MX" sz="1100" b="1"/>
            <a:t>(D13, D17) </a:t>
          </a:r>
          <a:r>
            <a:rPr lang="es-MX" sz="1100"/>
            <a:t>con el valor correspondiente</a:t>
          </a:r>
          <a:r>
            <a:rPr lang="es-MX" sz="1100" baseline="0"/>
            <a:t> utilizando la fórmula BuscarV. </a:t>
          </a: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76200</xdr:colOff>
      <xdr:row>4</xdr:row>
      <xdr:rowOff>1</xdr:rowOff>
    </xdr:from>
    <xdr:to>
      <xdr:col>5</xdr:col>
      <xdr:colOff>390525</xdr:colOff>
      <xdr:row>9</xdr:row>
      <xdr:rowOff>114301</xdr:rowOff>
    </xdr:to>
    <xdr:sp macro="" textlink="">
      <xdr:nvSpPr>
        <xdr:cNvPr id="2" name="Rectangl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685800" y="752476"/>
          <a:ext cx="5419725" cy="933450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1"/>
            <a:t>Instrucciones</a:t>
          </a:r>
        </a:p>
        <a:p>
          <a:pPr algn="l"/>
          <a:r>
            <a:rPr lang="es-MX" sz="1100" baseline="0"/>
            <a:t> </a:t>
          </a:r>
        </a:p>
        <a:p>
          <a:pPr algn="l"/>
          <a:r>
            <a:rPr lang="es-MX" sz="1100" baseline="0"/>
            <a:t>Crea una lista validada en las celdas </a:t>
          </a:r>
          <a:r>
            <a:rPr lang="es-MX" sz="1100" b="1" baseline="0"/>
            <a:t>C15</a:t>
          </a:r>
          <a:r>
            <a:rPr lang="es-MX" sz="1100" baseline="0"/>
            <a:t> y </a:t>
          </a:r>
          <a:r>
            <a:rPr lang="es-MX" sz="1100" b="1" baseline="0"/>
            <a:t>C19</a:t>
          </a:r>
          <a:r>
            <a:rPr lang="es-MX" sz="1100" baseline="0"/>
            <a:t> con todos los nombres de los alumnos antes de efectuar la búsqueda. Para todos los ejercicios usa los datos de la tabla </a:t>
          </a:r>
          <a:r>
            <a:rPr lang="es-MX" sz="1100" b="1" baseline="0"/>
            <a:t>J6:O36</a:t>
          </a:r>
          <a:r>
            <a:rPr lang="es-MX" sz="1100" baseline="0"/>
            <a:t>.</a:t>
          </a:r>
          <a:endParaRPr lang="es-MX" sz="1100"/>
        </a:p>
      </xdr:txBody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361950</xdr:colOff>
      <xdr:row>3</xdr:row>
      <xdr:rowOff>28575</xdr:rowOff>
    </xdr:from>
    <xdr:to>
      <xdr:col>6</xdr:col>
      <xdr:colOff>361950</xdr:colOff>
      <xdr:row>9</xdr:row>
      <xdr:rowOff>76198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200-000002000000}"/>
            </a:ext>
          </a:extLst>
        </xdr:cNvPr>
        <xdr:cNvSpPr/>
      </xdr:nvSpPr>
      <xdr:spPr>
        <a:xfrm>
          <a:off x="361950" y="619125"/>
          <a:ext cx="4572000" cy="1019173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1"/>
            <a:t>Instrucciones</a:t>
          </a:r>
        </a:p>
        <a:p>
          <a:pPr algn="l"/>
          <a:r>
            <a:rPr lang="es-MX" sz="1100"/>
            <a:t>Determina en que categoría de tarjeta de crédito</a:t>
          </a:r>
          <a:r>
            <a:rPr lang="es-MX" sz="1100" baseline="0"/>
            <a:t> (celdas </a:t>
          </a:r>
          <a:r>
            <a:rPr lang="es-MX" sz="1100" b="1" baseline="0"/>
            <a:t>I14:I19</a:t>
          </a:r>
          <a:r>
            <a:rPr lang="es-MX" sz="1100" baseline="0"/>
            <a:t>) debería de caer cada uno de los clientes presentados. en la tabla </a:t>
          </a:r>
          <a:r>
            <a:rPr lang="es-MX" sz="1100" b="1" baseline="0"/>
            <a:t>B14:C43</a:t>
          </a:r>
          <a:r>
            <a:rPr lang="es-MX" sz="1100" baseline="0"/>
            <a:t>. Escribe tus resultados en las celdas amarillas en </a:t>
          </a:r>
          <a:r>
            <a:rPr lang="es-MX" sz="1100" b="1" baseline="0"/>
            <a:t>D14:D43</a:t>
          </a:r>
          <a:endParaRPr lang="es-MX" sz="1100" b="1"/>
        </a:p>
      </xdr:txBody>
    </xdr:sp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243840</xdr:colOff>
      <xdr:row>2</xdr:row>
      <xdr:rowOff>114301</xdr:rowOff>
    </xdr:from>
    <xdr:to>
      <xdr:col>5</xdr:col>
      <xdr:colOff>91440</xdr:colOff>
      <xdr:row>8</xdr:row>
      <xdr:rowOff>38100</xdr:rowOff>
    </xdr:to>
    <xdr:sp macro="" textlink="">
      <xdr:nvSpPr>
        <xdr:cNvPr id="2" name="Rectangle 2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SpPr/>
      </xdr:nvSpPr>
      <xdr:spPr>
        <a:xfrm>
          <a:off x="243840" y="542926"/>
          <a:ext cx="5181600" cy="962024"/>
        </a:xfrm>
        <a:prstGeom prst="rect">
          <a:avLst/>
        </a:prstGeom>
      </xdr:spPr>
      <xdr:style>
        <a:lnRef idx="2">
          <a:schemeClr val="accent6">
            <a:shade val="50000"/>
          </a:schemeClr>
        </a:lnRef>
        <a:fillRef idx="1">
          <a:schemeClr val="accent6"/>
        </a:fillRef>
        <a:effectRef idx="0">
          <a:schemeClr val="accent6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r>
            <a:rPr lang="es-MX" sz="1800" b="1"/>
            <a:t>Instrucciones</a:t>
          </a:r>
        </a:p>
        <a:p>
          <a:pPr algn="l"/>
          <a:r>
            <a:rPr lang="es-MX" sz="1100"/>
            <a:t>Calcula las ventas totales del mes del</a:t>
          </a:r>
          <a:r>
            <a:rPr lang="es-MX" sz="1100" baseline="0"/>
            <a:t> centro de impresión y escribe su resultado en </a:t>
          </a:r>
          <a:r>
            <a:rPr lang="es-MX" sz="1100" b="1" baseline="0"/>
            <a:t>D10. </a:t>
          </a:r>
          <a:r>
            <a:rPr lang="es-MX" sz="1100" b="0" baseline="0"/>
            <a:t>También será necesario calcular las ventas por concepto de D</a:t>
          </a:r>
          <a:r>
            <a:rPr lang="es-MX" sz="1100" b="1" baseline="0"/>
            <a:t>13: D121. </a:t>
          </a:r>
          <a:r>
            <a:rPr lang="es-MX" sz="1100" b="0" baseline="0"/>
            <a:t>Los precios de cada concepto se pueden encontrar en </a:t>
          </a:r>
          <a:r>
            <a:rPr lang="es-MX" sz="1100" b="1" baseline="0"/>
            <a:t>G5:H27.</a:t>
          </a:r>
          <a:endParaRPr lang="es-MX" sz="1100" b="1"/>
        </a:p>
      </xdr:txBody>
    </xdr:sp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O134"/>
  <sheetViews>
    <sheetView showGridLines="0" zoomScaleNormal="100" workbookViewId="0">
      <selection activeCell="D17" sqref="D17"/>
    </sheetView>
  </sheetViews>
  <sheetFormatPr baseColWidth="10" defaultColWidth="9.109375" defaultRowHeight="13.2" x14ac:dyDescent="0.25"/>
  <cols>
    <col min="2" max="2" width="4" customWidth="1"/>
    <col min="3" max="3" width="26.109375" customWidth="1"/>
    <col min="4" max="4" width="36.33203125" bestFit="1" customWidth="1"/>
    <col min="5" max="6" width="10.109375" customWidth="1"/>
    <col min="7" max="7" width="13.109375" bestFit="1" customWidth="1"/>
    <col min="9" max="9" width="3" bestFit="1" customWidth="1"/>
    <col min="10" max="10" width="34.44140625" bestFit="1" customWidth="1"/>
    <col min="11" max="11" width="8.44140625" bestFit="1" customWidth="1"/>
    <col min="12" max="12" width="9" bestFit="1" customWidth="1"/>
    <col min="13" max="13" width="7.109375" bestFit="1" customWidth="1"/>
    <col min="14" max="14" width="13.109375" bestFit="1" customWidth="1"/>
    <col min="15" max="15" width="6.44140625" bestFit="1" customWidth="1"/>
  </cols>
  <sheetData>
    <row r="3" spans="2:15" ht="20.399999999999999" thickBot="1" x14ac:dyDescent="0.45">
      <c r="B3" s="54" t="s">
        <v>10</v>
      </c>
      <c r="C3" s="54"/>
      <c r="D3" s="54"/>
    </row>
    <row r="4" spans="2:15" ht="13.8" thickTop="1" x14ac:dyDescent="0.25"/>
    <row r="5" spans="2:15" ht="13.8" thickBot="1" x14ac:dyDescent="0.3"/>
    <row r="6" spans="2:15" x14ac:dyDescent="0.25">
      <c r="I6" s="11"/>
      <c r="J6" s="12" t="s">
        <v>1</v>
      </c>
      <c r="K6" s="12"/>
      <c r="L6" s="12"/>
      <c r="M6" s="12"/>
      <c r="N6" s="12"/>
      <c r="O6" s="13"/>
    </row>
    <row r="7" spans="2:15" x14ac:dyDescent="0.25">
      <c r="I7" s="14"/>
      <c r="J7" s="8" t="s">
        <v>4</v>
      </c>
      <c r="K7" s="8"/>
      <c r="O7" s="15"/>
    </row>
    <row r="8" spans="2:15" x14ac:dyDescent="0.25">
      <c r="I8" s="14"/>
      <c r="J8" s="8" t="s">
        <v>3</v>
      </c>
      <c r="K8" s="8"/>
      <c r="O8" s="15"/>
    </row>
    <row r="9" spans="2:15" x14ac:dyDescent="0.25">
      <c r="I9" s="14"/>
      <c r="J9" s="10" t="s">
        <v>2</v>
      </c>
      <c r="K9" s="9"/>
      <c r="O9" s="15"/>
    </row>
    <row r="10" spans="2:15" x14ac:dyDescent="0.25">
      <c r="I10" s="14"/>
      <c r="J10" s="16">
        <f ca="1">TODAY()</f>
        <v>46051</v>
      </c>
      <c r="K10" s="16"/>
      <c r="O10" s="15"/>
    </row>
    <row r="11" spans="2:15" ht="13.8" thickBot="1" x14ac:dyDescent="0.3">
      <c r="I11" s="23" t="s">
        <v>39</v>
      </c>
      <c r="J11" t="s">
        <v>0</v>
      </c>
      <c r="K11" s="3" t="s">
        <v>5</v>
      </c>
      <c r="L11" s="2" t="s">
        <v>6</v>
      </c>
      <c r="M11" s="3" t="s">
        <v>7</v>
      </c>
      <c r="N11" s="2" t="s">
        <v>8</v>
      </c>
      <c r="O11" s="17" t="s">
        <v>9</v>
      </c>
    </row>
    <row r="12" spans="2:15" x14ac:dyDescent="0.25">
      <c r="C12" s="24" t="s">
        <v>11</v>
      </c>
      <c r="D12" s="25" t="s">
        <v>12</v>
      </c>
      <c r="I12" s="14">
        <v>1</v>
      </c>
      <c r="J12" s="7" t="s">
        <v>14</v>
      </c>
      <c r="K12" s="4">
        <v>21.881822751322751</v>
      </c>
      <c r="L12" s="4">
        <v>21.625</v>
      </c>
      <c r="M12" s="4">
        <v>22.5625</v>
      </c>
      <c r="N12" s="4">
        <v>25.216666666666669</v>
      </c>
      <c r="O12" s="18">
        <v>91.285989417989413</v>
      </c>
    </row>
    <row r="13" spans="2:15" ht="15" thickBot="1" x14ac:dyDescent="0.35">
      <c r="C13" s="19" t="s">
        <v>13</v>
      </c>
      <c r="D13" s="57">
        <f>VLOOKUP(C13,$J$11:$O$36,6,0)</f>
        <v>83.5785582010582</v>
      </c>
      <c r="I13" s="14">
        <v>2</v>
      </c>
      <c r="J13" s="7" t="s">
        <v>15</v>
      </c>
      <c r="K13" s="4">
        <v>23.603439153439155</v>
      </c>
      <c r="L13" s="4">
        <v>23.359166666666667</v>
      </c>
      <c r="M13" s="4">
        <v>19.009500000000003</v>
      </c>
      <c r="N13" s="4">
        <v>17.339444444444446</v>
      </c>
      <c r="O13" s="18">
        <v>83.311550264550277</v>
      </c>
    </row>
    <row r="14" spans="2:15" x14ac:dyDescent="0.25">
      <c r="I14" s="14">
        <v>3</v>
      </c>
      <c r="J14" s="7" t="s">
        <v>16</v>
      </c>
      <c r="K14" s="4">
        <v>14.328515873015874</v>
      </c>
      <c r="L14" s="4">
        <v>17.358333333333334</v>
      </c>
      <c r="M14" s="4">
        <v>7.0625</v>
      </c>
      <c r="N14" s="4">
        <v>4.05</v>
      </c>
      <c r="O14" s="18">
        <v>42.799349206349206</v>
      </c>
    </row>
    <row r="15" spans="2:15" ht="13.8" thickBot="1" x14ac:dyDescent="0.3">
      <c r="I15" s="14">
        <v>4</v>
      </c>
      <c r="J15" s="7" t="s">
        <v>17</v>
      </c>
      <c r="K15" s="4">
        <v>19.209338624338624</v>
      </c>
      <c r="L15" s="4">
        <v>20.2925</v>
      </c>
      <c r="M15" s="4">
        <v>21.006999999999998</v>
      </c>
      <c r="N15" s="4">
        <v>18.238055555555555</v>
      </c>
      <c r="O15" s="18">
        <v>78.746894179894184</v>
      </c>
    </row>
    <row r="16" spans="2:15" ht="13.8" thickBot="1" x14ac:dyDescent="0.3">
      <c r="C16" s="24" t="s">
        <v>11</v>
      </c>
      <c r="D16" s="25" t="s">
        <v>38</v>
      </c>
      <c r="I16" s="19">
        <v>5</v>
      </c>
      <c r="J16" s="6" t="s">
        <v>18</v>
      </c>
      <c r="K16" s="1">
        <v>18.090499999999999</v>
      </c>
      <c r="L16" s="1">
        <v>16.409166666666668</v>
      </c>
      <c r="M16" s="1">
        <v>16.675000000000001</v>
      </c>
      <c r="N16" s="1">
        <v>22.2</v>
      </c>
      <c r="O16" s="20">
        <v>73.37466666666667</v>
      </c>
    </row>
    <row r="17" spans="3:15" ht="15" thickBot="1" x14ac:dyDescent="0.35">
      <c r="C17" s="19" t="s">
        <v>17</v>
      </c>
      <c r="D17" s="57">
        <f>VLOOKUP(C17,$J$11:$O$36,4,0)</f>
        <v>21.006999999999998</v>
      </c>
      <c r="I17" s="14">
        <v>6</v>
      </c>
      <c r="J17" s="5" t="s">
        <v>13</v>
      </c>
      <c r="K17" s="4">
        <v>22.094891534391536</v>
      </c>
      <c r="L17" s="4">
        <v>23.015833333333333</v>
      </c>
      <c r="M17" s="4">
        <v>17.284500000000001</v>
      </c>
      <c r="N17" s="4">
        <v>21.183333333333334</v>
      </c>
      <c r="O17" s="21">
        <v>83.5785582010582</v>
      </c>
    </row>
    <row r="18" spans="3:15" x14ac:dyDescent="0.25">
      <c r="I18" s="14">
        <v>7</v>
      </c>
      <c r="J18" s="7" t="s">
        <v>19</v>
      </c>
      <c r="K18" s="4">
        <v>14.696468253968254</v>
      </c>
      <c r="L18" s="4">
        <v>0.71250000000000002</v>
      </c>
      <c r="M18" s="4">
        <v>0</v>
      </c>
      <c r="N18" s="4">
        <v>0</v>
      </c>
      <c r="O18" s="18">
        <v>15.408968253968254</v>
      </c>
    </row>
    <row r="19" spans="3:15" x14ac:dyDescent="0.25">
      <c r="I19" s="14">
        <v>8</v>
      </c>
      <c r="J19" s="7" t="s">
        <v>20</v>
      </c>
      <c r="K19" s="4">
        <v>6.5199444444444445</v>
      </c>
      <c r="L19" s="4">
        <v>0.64166666666666672</v>
      </c>
      <c r="M19" s="4">
        <v>0</v>
      </c>
      <c r="N19" s="4">
        <v>0</v>
      </c>
      <c r="O19" s="18">
        <v>7.1616111111111111</v>
      </c>
    </row>
    <row r="20" spans="3:15" x14ac:dyDescent="0.25">
      <c r="I20" s="14">
        <v>9</v>
      </c>
      <c r="J20" s="7" t="s">
        <v>21</v>
      </c>
      <c r="K20" s="4">
        <v>1.8027777777777776</v>
      </c>
      <c r="L20" s="4">
        <v>0.41666666666666669</v>
      </c>
      <c r="M20" s="4">
        <v>0</v>
      </c>
      <c r="N20" s="4">
        <v>0</v>
      </c>
      <c r="O20" s="18">
        <v>2.2194444444444441</v>
      </c>
    </row>
    <row r="21" spans="3:15" ht="13.8" thickBot="1" x14ac:dyDescent="0.3">
      <c r="I21" s="19">
        <v>10</v>
      </c>
      <c r="J21" s="6" t="s">
        <v>22</v>
      </c>
      <c r="K21" s="1">
        <v>11.049018518518519</v>
      </c>
      <c r="L21" s="1">
        <v>0</v>
      </c>
      <c r="M21" s="1">
        <v>0</v>
      </c>
      <c r="N21" s="1">
        <v>0</v>
      </c>
      <c r="O21" s="20">
        <v>11.049018518518519</v>
      </c>
    </row>
    <row r="22" spans="3:15" x14ac:dyDescent="0.25">
      <c r="I22" s="14">
        <v>11</v>
      </c>
      <c r="J22" s="5" t="s">
        <v>23</v>
      </c>
      <c r="K22" s="4">
        <v>8.4668544973544986</v>
      </c>
      <c r="L22" s="4">
        <v>0</v>
      </c>
      <c r="M22" s="4">
        <v>0</v>
      </c>
      <c r="N22" s="4">
        <v>0</v>
      </c>
      <c r="O22" s="21">
        <v>8.4668544973544986</v>
      </c>
    </row>
    <row r="23" spans="3:15" x14ac:dyDescent="0.25">
      <c r="I23" s="14">
        <v>12</v>
      </c>
      <c r="J23" s="7" t="s">
        <v>24</v>
      </c>
      <c r="K23" s="4">
        <v>27.1</v>
      </c>
      <c r="L23" s="4">
        <v>23.5</v>
      </c>
      <c r="M23" s="4">
        <v>22.5625</v>
      </c>
      <c r="N23" s="4">
        <v>26.47</v>
      </c>
      <c r="O23" s="18">
        <v>99.632499999999993</v>
      </c>
    </row>
    <row r="24" spans="3:15" x14ac:dyDescent="0.25">
      <c r="I24" s="14">
        <v>13</v>
      </c>
      <c r="J24" s="7" t="s">
        <v>25</v>
      </c>
      <c r="K24" s="4">
        <v>20.823809523809523</v>
      </c>
      <c r="L24" s="4">
        <v>17.404166666666665</v>
      </c>
      <c r="M24" s="4">
        <v>19.896000000000001</v>
      </c>
      <c r="N24" s="4">
        <v>21.391388888888891</v>
      </c>
      <c r="O24" s="18">
        <v>79.515365079365068</v>
      </c>
    </row>
    <row r="25" spans="3:15" x14ac:dyDescent="0.25">
      <c r="I25" s="14">
        <v>14</v>
      </c>
      <c r="J25" s="7" t="s">
        <v>26</v>
      </c>
      <c r="K25" s="4">
        <v>18.139044973544973</v>
      </c>
      <c r="L25" s="4">
        <v>21.57</v>
      </c>
      <c r="M25" s="4">
        <v>0.625</v>
      </c>
      <c r="N25" s="4">
        <v>1</v>
      </c>
      <c r="O25" s="18">
        <v>41.334044973544977</v>
      </c>
    </row>
    <row r="26" spans="3:15" ht="13.8" thickBot="1" x14ac:dyDescent="0.3">
      <c r="I26" s="19">
        <v>15</v>
      </c>
      <c r="J26" s="6" t="s">
        <v>27</v>
      </c>
      <c r="K26" s="1">
        <v>25.045171957671958</v>
      </c>
      <c r="L26" s="1">
        <v>23.5</v>
      </c>
      <c r="M26" s="1">
        <v>22.5</v>
      </c>
      <c r="N26" s="1">
        <v>24.5</v>
      </c>
      <c r="O26" s="20">
        <v>95.545171957671954</v>
      </c>
    </row>
    <row r="27" spans="3:15" x14ac:dyDescent="0.25">
      <c r="I27" s="14">
        <v>16</v>
      </c>
      <c r="J27" s="5" t="s">
        <v>28</v>
      </c>
      <c r="K27" s="4">
        <v>25.254947089947091</v>
      </c>
      <c r="L27" s="4">
        <v>23.495833333333334</v>
      </c>
      <c r="M27" s="4">
        <v>22.5625</v>
      </c>
      <c r="N27" s="4">
        <v>23.4</v>
      </c>
      <c r="O27" s="21">
        <v>94.713280423280423</v>
      </c>
    </row>
    <row r="28" spans="3:15" x14ac:dyDescent="0.25">
      <c r="I28" s="14">
        <v>17</v>
      </c>
      <c r="J28" s="7" t="s">
        <v>29</v>
      </c>
      <c r="K28" s="4">
        <v>23.061666666666667</v>
      </c>
      <c r="L28" s="4">
        <v>18.73</v>
      </c>
      <c r="M28" s="4">
        <v>19.5625</v>
      </c>
      <c r="N28" s="4">
        <v>24.869999999999997</v>
      </c>
      <c r="O28" s="18">
        <v>86.224166666666662</v>
      </c>
    </row>
    <row r="29" spans="3:15" x14ac:dyDescent="0.25">
      <c r="I29" s="14">
        <v>18</v>
      </c>
      <c r="J29" s="7" t="s">
        <v>30</v>
      </c>
      <c r="K29" s="4">
        <v>22.79789947089947</v>
      </c>
      <c r="L29" s="4">
        <v>19.64</v>
      </c>
      <c r="M29" s="4">
        <v>16.582000000000001</v>
      </c>
      <c r="N29" s="4">
        <v>19.899999999999999</v>
      </c>
      <c r="O29" s="18">
        <v>78.919899470899466</v>
      </c>
    </row>
    <row r="30" spans="3:15" x14ac:dyDescent="0.25">
      <c r="I30" s="14">
        <v>19</v>
      </c>
      <c r="J30" s="7" t="s">
        <v>31</v>
      </c>
      <c r="K30" s="4">
        <v>11.334656084656084</v>
      </c>
      <c r="L30" s="4">
        <v>10.775833333333333</v>
      </c>
      <c r="M30" s="4">
        <v>13.275</v>
      </c>
      <c r="N30" s="4">
        <v>26.103333333333335</v>
      </c>
      <c r="O30" s="18">
        <v>61.488822751322758</v>
      </c>
    </row>
    <row r="31" spans="3:15" ht="13.8" thickBot="1" x14ac:dyDescent="0.3">
      <c r="I31" s="19">
        <v>20</v>
      </c>
      <c r="J31" s="6" t="s">
        <v>32</v>
      </c>
      <c r="K31" s="1">
        <v>24.285476190476189</v>
      </c>
      <c r="L31" s="1">
        <v>23.290833333333332</v>
      </c>
      <c r="M31" s="1">
        <v>21.462499999999999</v>
      </c>
      <c r="N31" s="1">
        <v>2.23</v>
      </c>
      <c r="O31" s="20">
        <v>71.268809523809523</v>
      </c>
    </row>
    <row r="32" spans="3:15" x14ac:dyDescent="0.25">
      <c r="I32" s="14">
        <v>21</v>
      </c>
      <c r="J32" s="5" t="s">
        <v>33</v>
      </c>
      <c r="K32" s="4">
        <v>24.017669312169314</v>
      </c>
      <c r="L32" s="4">
        <v>23.348333333333333</v>
      </c>
      <c r="M32" s="4">
        <v>15.262499999999999</v>
      </c>
      <c r="N32" s="4">
        <v>22.5</v>
      </c>
      <c r="O32" s="21">
        <v>85.12850264550265</v>
      </c>
    </row>
    <row r="33" spans="9:15" x14ac:dyDescent="0.25">
      <c r="I33" s="14">
        <v>22</v>
      </c>
      <c r="J33" s="7" t="s">
        <v>34</v>
      </c>
      <c r="K33" s="4">
        <v>5.2349391534391536</v>
      </c>
      <c r="L33" s="4">
        <v>0.36666666666666664</v>
      </c>
      <c r="M33" s="4">
        <v>0</v>
      </c>
      <c r="N33" s="4">
        <v>0</v>
      </c>
      <c r="O33" s="18">
        <v>5.6016058201058199</v>
      </c>
    </row>
    <row r="34" spans="9:15" x14ac:dyDescent="0.25">
      <c r="I34" s="14">
        <v>23</v>
      </c>
      <c r="J34" s="7" t="s">
        <v>35</v>
      </c>
      <c r="K34" s="4">
        <v>21.004619047619048</v>
      </c>
      <c r="L34" s="4">
        <v>19.8475</v>
      </c>
      <c r="M34" s="4">
        <v>16.1875</v>
      </c>
      <c r="N34" s="4">
        <v>23.394444444444446</v>
      </c>
      <c r="O34" s="18">
        <v>80.434063492063501</v>
      </c>
    </row>
    <row r="35" spans="9:15" x14ac:dyDescent="0.25">
      <c r="I35" s="14">
        <v>24</v>
      </c>
      <c r="J35" s="7" t="s">
        <v>36</v>
      </c>
      <c r="K35" s="4">
        <v>16.364560846560849</v>
      </c>
      <c r="L35" s="4">
        <v>14.965</v>
      </c>
      <c r="M35" s="4">
        <v>13.903</v>
      </c>
      <c r="N35" s="4">
        <v>22.208888888888886</v>
      </c>
      <c r="O35" s="18">
        <v>67.441449735449737</v>
      </c>
    </row>
    <row r="36" spans="9:15" ht="13.8" thickBot="1" x14ac:dyDescent="0.3">
      <c r="I36" s="22">
        <v>25</v>
      </c>
      <c r="J36" s="6" t="s">
        <v>37</v>
      </c>
      <c r="K36" s="1">
        <v>17.532851851851852</v>
      </c>
      <c r="L36" s="1">
        <v>12.020833333333334</v>
      </c>
      <c r="M36" s="1">
        <v>13.6</v>
      </c>
      <c r="N36" s="1">
        <v>7.75</v>
      </c>
      <c r="O36" s="20">
        <v>50.903685185185189</v>
      </c>
    </row>
    <row r="84" hidden="1" x14ac:dyDescent="0.25"/>
    <row r="85" hidden="1" x14ac:dyDescent="0.25"/>
    <row r="86" hidden="1" x14ac:dyDescent="0.25"/>
    <row r="87" hidden="1" x14ac:dyDescent="0.25"/>
    <row r="88" hidden="1" x14ac:dyDescent="0.25"/>
    <row r="132" hidden="1" x14ac:dyDescent="0.25"/>
    <row r="133" hidden="1" x14ac:dyDescent="0.25"/>
    <row r="134" hidden="1" x14ac:dyDescent="0.25"/>
  </sheetData>
  <mergeCells count="1">
    <mergeCell ref="B3:D3"/>
  </mergeCells>
  <conditionalFormatting sqref="O12:O36">
    <cfRule type="cellIs" dxfId="6" priority="42" stopIfTrue="1" operator="lessThan">
      <formula>#REF!</formula>
    </cfRule>
  </conditionalFormatting>
  <pageMargins left="0.75" right="0.75" top="1" bottom="1" header="0.5" footer="0.5"/>
  <pageSetup orientation="portrait" horizontalDpi="300" verticalDpi="300" r:id="rId1"/>
  <headerFooter alignWithMargins="0"/>
  <drawing r:id="rId2"/>
  <webPublishItems count="1">
    <webPublishItem id="25762" divId="Vlookups_25762" sourceType="sheet" destinationFile="C:\Users\DMI\Documents\A2\Examen\Vlookup.htm"/>
  </webPublishItem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3:O37"/>
  <sheetViews>
    <sheetView showGridLines="0" workbookViewId="0">
      <selection activeCell="D15" sqref="D15"/>
    </sheetView>
  </sheetViews>
  <sheetFormatPr baseColWidth="10" defaultRowHeight="13.2" x14ac:dyDescent="0.25"/>
  <cols>
    <col min="2" max="2" width="4" customWidth="1"/>
    <col min="3" max="3" width="26.109375" customWidth="1"/>
    <col min="4" max="4" width="36.33203125" bestFit="1" customWidth="1"/>
    <col min="5" max="6" width="10.109375" customWidth="1"/>
    <col min="7" max="7" width="13.109375" bestFit="1" customWidth="1"/>
    <col min="8" max="8" width="9.109375"/>
    <col min="9" max="9" width="3" bestFit="1" customWidth="1"/>
    <col min="10" max="10" width="34.44140625" bestFit="1" customWidth="1"/>
    <col min="11" max="11" width="8.44140625" bestFit="1" customWidth="1"/>
    <col min="12" max="12" width="9" bestFit="1" customWidth="1"/>
    <col min="13" max="13" width="7.109375" bestFit="1" customWidth="1"/>
    <col min="14" max="14" width="13.109375" bestFit="1" customWidth="1"/>
    <col min="15" max="15" width="6.44140625" bestFit="1" customWidth="1"/>
  </cols>
  <sheetData>
    <row r="3" spans="2:15" ht="20.399999999999999" thickBot="1" x14ac:dyDescent="0.45">
      <c r="B3" s="54" t="s">
        <v>10</v>
      </c>
      <c r="C3" s="54"/>
      <c r="D3" s="54"/>
    </row>
    <row r="4" spans="2:15" ht="13.8" thickTop="1" x14ac:dyDescent="0.25"/>
    <row r="5" spans="2:15" ht="13.8" thickBot="1" x14ac:dyDescent="0.3">
      <c r="J5">
        <v>1</v>
      </c>
      <c r="K5">
        <v>2</v>
      </c>
      <c r="L5">
        <v>3</v>
      </c>
      <c r="M5">
        <v>4</v>
      </c>
      <c r="N5">
        <v>5</v>
      </c>
      <c r="O5">
        <v>6</v>
      </c>
    </row>
    <row r="6" spans="2:15" x14ac:dyDescent="0.25">
      <c r="I6" s="11"/>
      <c r="J6" s="12" t="s">
        <v>1</v>
      </c>
      <c r="K6" s="12"/>
      <c r="L6" s="12"/>
      <c r="M6" s="12"/>
      <c r="N6" s="12"/>
      <c r="O6" s="13"/>
    </row>
    <row r="7" spans="2:15" x14ac:dyDescent="0.25">
      <c r="I7" s="14"/>
      <c r="J7" s="8" t="s">
        <v>4</v>
      </c>
      <c r="K7" s="8"/>
      <c r="O7" s="15"/>
    </row>
    <row r="8" spans="2:15" x14ac:dyDescent="0.25">
      <c r="I8" s="14"/>
      <c r="J8" s="8" t="s">
        <v>3</v>
      </c>
      <c r="K8" s="8"/>
      <c r="O8" s="15"/>
    </row>
    <row r="9" spans="2:15" x14ac:dyDescent="0.25">
      <c r="I9" s="14"/>
      <c r="J9" s="10" t="s">
        <v>2</v>
      </c>
      <c r="K9" s="9"/>
      <c r="O9" s="15"/>
    </row>
    <row r="10" spans="2:15" x14ac:dyDescent="0.25">
      <c r="I10" s="14"/>
      <c r="J10" s="16">
        <f ca="1">TODAY()</f>
        <v>46051</v>
      </c>
      <c r="K10" s="16"/>
      <c r="O10" s="15"/>
    </row>
    <row r="11" spans="2:15" x14ac:dyDescent="0.25">
      <c r="I11" s="23" t="s">
        <v>39</v>
      </c>
      <c r="J11" t="s">
        <v>0</v>
      </c>
      <c r="K11" s="3" t="s">
        <v>5</v>
      </c>
      <c r="L11" s="2" t="s">
        <v>6</v>
      </c>
      <c r="M11" s="3" t="s">
        <v>7</v>
      </c>
      <c r="N11" s="2" t="s">
        <v>8</v>
      </c>
      <c r="O11" s="17" t="s">
        <v>9</v>
      </c>
    </row>
    <row r="12" spans="2:15" x14ac:dyDescent="0.25">
      <c r="I12" s="14">
        <v>1</v>
      </c>
      <c r="J12" s="7" t="s">
        <v>14</v>
      </c>
      <c r="K12" s="4">
        <v>21.881822751322751</v>
      </c>
      <c r="L12" s="4">
        <v>21.625</v>
      </c>
      <c r="M12" s="4">
        <v>22.5625</v>
      </c>
      <c r="N12" s="4">
        <v>25.216666666666669</v>
      </c>
      <c r="O12" s="18">
        <v>91.285989417989413</v>
      </c>
    </row>
    <row r="13" spans="2:15" ht="13.8" thickBot="1" x14ac:dyDescent="0.3">
      <c r="I13" s="14">
        <v>2</v>
      </c>
      <c r="J13" s="7" t="s">
        <v>15</v>
      </c>
      <c r="K13" s="4">
        <v>23.603439153439155</v>
      </c>
      <c r="L13" s="4">
        <v>23.359166666666667</v>
      </c>
      <c r="M13" s="4">
        <v>19.009500000000003</v>
      </c>
      <c r="N13" s="4">
        <v>17.339444444444446</v>
      </c>
      <c r="O13" s="18">
        <v>83.311550264550277</v>
      </c>
    </row>
    <row r="14" spans="2:15" x14ac:dyDescent="0.25">
      <c r="C14" s="24" t="s">
        <v>11</v>
      </c>
      <c r="D14" s="25" t="s">
        <v>40</v>
      </c>
      <c r="I14" s="14">
        <v>3</v>
      </c>
      <c r="J14" s="7" t="s">
        <v>16</v>
      </c>
      <c r="K14" s="4">
        <v>14.328515873015874</v>
      </c>
      <c r="L14" s="4">
        <v>17.358333333333334</v>
      </c>
      <c r="M14" s="4">
        <v>7.0625</v>
      </c>
      <c r="N14" s="4">
        <v>4.05</v>
      </c>
      <c r="O14" s="18">
        <v>42.799349206349206</v>
      </c>
    </row>
    <row r="15" spans="2:15" ht="15" thickBot="1" x14ac:dyDescent="0.35">
      <c r="C15" s="19" t="s">
        <v>24</v>
      </c>
      <c r="D15" s="57">
        <f>SUM(VLOOKUP(C15,$J$11:$O$36,4,0),VLOOKUP(C15,$J$11:$O$36,5,0))</f>
        <v>49.032499999999999</v>
      </c>
      <c r="I15" s="14">
        <v>4</v>
      </c>
      <c r="J15" s="7" t="s">
        <v>17</v>
      </c>
      <c r="K15" s="4">
        <v>19.209338624338624</v>
      </c>
      <c r="L15" s="4">
        <v>20.2925</v>
      </c>
      <c r="M15" s="4">
        <v>21.006999999999998</v>
      </c>
      <c r="N15" s="4">
        <v>18.238055555555555</v>
      </c>
      <c r="O15" s="18">
        <v>78.746894179894184</v>
      </c>
    </row>
    <row r="16" spans="2:15" ht="13.8" thickBot="1" x14ac:dyDescent="0.3">
      <c r="I16" s="19">
        <v>5</v>
      </c>
      <c r="J16" s="6" t="s">
        <v>18</v>
      </c>
      <c r="K16" s="1">
        <v>18.090499999999999</v>
      </c>
      <c r="L16" s="1">
        <v>16.409166666666668</v>
      </c>
      <c r="M16" s="1">
        <v>16.675000000000001</v>
      </c>
      <c r="N16" s="1">
        <v>22.2</v>
      </c>
      <c r="O16" s="20">
        <v>73.37466666666667</v>
      </c>
    </row>
    <row r="17" spans="3:15" ht="13.8" thickBot="1" x14ac:dyDescent="0.3">
      <c r="I17" s="14">
        <v>6</v>
      </c>
      <c r="J17" s="5" t="s">
        <v>13</v>
      </c>
      <c r="K17" s="4">
        <v>22.094891534391536</v>
      </c>
      <c r="L17" s="4">
        <v>23.015833333333333</v>
      </c>
      <c r="M17" s="4">
        <v>17.284500000000001</v>
      </c>
      <c r="N17" s="4">
        <v>21.183333333333334</v>
      </c>
      <c r="O17" s="21">
        <v>83.5785582010582</v>
      </c>
    </row>
    <row r="18" spans="3:15" x14ac:dyDescent="0.25">
      <c r="C18" s="24" t="s">
        <v>11</v>
      </c>
      <c r="D18" s="26" t="s">
        <v>5</v>
      </c>
      <c r="E18" s="26" t="s">
        <v>6</v>
      </c>
      <c r="F18" s="26" t="s">
        <v>7</v>
      </c>
      <c r="G18" s="25" t="s">
        <v>8</v>
      </c>
      <c r="I18" s="14">
        <v>7</v>
      </c>
      <c r="J18" s="7" t="s">
        <v>19</v>
      </c>
      <c r="K18" s="4">
        <v>14.696468253968254</v>
      </c>
      <c r="L18" s="4">
        <v>0.71250000000000002</v>
      </c>
      <c r="M18" s="4">
        <v>0</v>
      </c>
      <c r="N18" s="4">
        <v>0</v>
      </c>
      <c r="O18" s="18">
        <v>15.408968253968254</v>
      </c>
    </row>
    <row r="19" spans="3:15" ht="15" thickBot="1" x14ac:dyDescent="0.35">
      <c r="C19" s="19" t="s">
        <v>14</v>
      </c>
      <c r="D19" s="58">
        <f>VLOOKUP($C$19,$J$12:$O$36,K5,0)</f>
        <v>21.881822751322751</v>
      </c>
      <c r="E19" s="58">
        <f t="shared" ref="E19:G19" si="0">VLOOKUP($C$19,$J$12:$O$36,L5,0)</f>
        <v>21.625</v>
      </c>
      <c r="F19" s="58">
        <f t="shared" si="0"/>
        <v>22.5625</v>
      </c>
      <c r="G19" s="58">
        <f t="shared" si="0"/>
        <v>25.216666666666669</v>
      </c>
      <c r="I19" s="14">
        <v>8</v>
      </c>
      <c r="J19" s="7" t="s">
        <v>20</v>
      </c>
      <c r="K19" s="4">
        <v>6.5199444444444445</v>
      </c>
      <c r="L19" s="4">
        <v>0.64166666666666672</v>
      </c>
      <c r="M19" s="4">
        <v>0</v>
      </c>
      <c r="N19" s="4">
        <v>0</v>
      </c>
      <c r="O19" s="18">
        <v>7.1616111111111111</v>
      </c>
    </row>
    <row r="20" spans="3:15" x14ac:dyDescent="0.25">
      <c r="I20" s="14">
        <v>9</v>
      </c>
      <c r="J20" s="7" t="s">
        <v>21</v>
      </c>
      <c r="K20" s="4">
        <v>1.8027777777777776</v>
      </c>
      <c r="L20" s="4">
        <v>0.41666666666666669</v>
      </c>
      <c r="M20" s="4">
        <v>0</v>
      </c>
      <c r="N20" s="4">
        <v>0</v>
      </c>
      <c r="O20" s="18">
        <v>2.2194444444444441</v>
      </c>
    </row>
    <row r="21" spans="3:15" ht="13.8" thickBot="1" x14ac:dyDescent="0.3">
      <c r="I21" s="19">
        <v>10</v>
      </c>
      <c r="J21" s="6" t="s">
        <v>22</v>
      </c>
      <c r="K21" s="1">
        <v>11.049018518518519</v>
      </c>
      <c r="L21" s="1">
        <v>0</v>
      </c>
      <c r="M21" s="1">
        <v>0</v>
      </c>
      <c r="N21" s="1">
        <v>0</v>
      </c>
      <c r="O21" s="20">
        <v>11.049018518518519</v>
      </c>
    </row>
    <row r="22" spans="3:15" x14ac:dyDescent="0.25">
      <c r="I22" s="14">
        <v>11</v>
      </c>
      <c r="J22" s="5" t="s">
        <v>23</v>
      </c>
      <c r="K22" s="4">
        <v>8.4668544973544986</v>
      </c>
      <c r="L22" s="4">
        <v>0</v>
      </c>
      <c r="M22" s="4">
        <v>0</v>
      </c>
      <c r="N22" s="4">
        <v>0</v>
      </c>
      <c r="O22" s="21">
        <v>8.4668544973544986</v>
      </c>
    </row>
    <row r="23" spans="3:15" x14ac:dyDescent="0.25">
      <c r="I23" s="14">
        <v>12</v>
      </c>
      <c r="J23" s="7" t="s">
        <v>24</v>
      </c>
      <c r="K23" s="4">
        <v>27.1</v>
      </c>
      <c r="L23" s="4">
        <v>23.5</v>
      </c>
      <c r="M23" s="4">
        <v>22.5625</v>
      </c>
      <c r="N23" s="4">
        <v>26.47</v>
      </c>
      <c r="O23" s="18">
        <v>99.632499999999993</v>
      </c>
    </row>
    <row r="24" spans="3:15" x14ac:dyDescent="0.25">
      <c r="I24" s="14">
        <v>13</v>
      </c>
      <c r="J24" s="7" t="s">
        <v>25</v>
      </c>
      <c r="K24" s="4">
        <v>20.823809523809523</v>
      </c>
      <c r="L24" s="4">
        <v>17.404166666666665</v>
      </c>
      <c r="M24" s="4">
        <v>19.896000000000001</v>
      </c>
      <c r="N24" s="4">
        <v>21.391388888888891</v>
      </c>
      <c r="O24" s="18">
        <v>79.515365079365068</v>
      </c>
    </row>
    <row r="25" spans="3:15" x14ac:dyDescent="0.25">
      <c r="I25" s="14">
        <v>14</v>
      </c>
      <c r="J25" s="7" t="s">
        <v>26</v>
      </c>
      <c r="K25" s="4">
        <v>18.139044973544973</v>
      </c>
      <c r="L25" s="4">
        <v>21.57</v>
      </c>
      <c r="M25" s="4">
        <v>0.625</v>
      </c>
      <c r="N25" s="4">
        <v>1</v>
      </c>
      <c r="O25" s="18">
        <v>41.334044973544977</v>
      </c>
    </row>
    <row r="26" spans="3:15" ht="13.8" thickBot="1" x14ac:dyDescent="0.3">
      <c r="I26" s="19">
        <v>15</v>
      </c>
      <c r="J26" s="6" t="s">
        <v>27</v>
      </c>
      <c r="K26" s="1">
        <v>25.045171957671958</v>
      </c>
      <c r="L26" s="1">
        <v>23.5</v>
      </c>
      <c r="M26" s="1">
        <v>22.5</v>
      </c>
      <c r="N26" s="1">
        <v>24.5</v>
      </c>
      <c r="O26" s="20">
        <v>95.545171957671954</v>
      </c>
    </row>
    <row r="27" spans="3:15" x14ac:dyDescent="0.25">
      <c r="I27" s="14">
        <v>16</v>
      </c>
      <c r="J27" s="5" t="s">
        <v>28</v>
      </c>
      <c r="K27" s="4">
        <v>25.254947089947091</v>
      </c>
      <c r="L27" s="4">
        <v>23.495833333333334</v>
      </c>
      <c r="M27" s="4">
        <v>22.5625</v>
      </c>
      <c r="N27" s="4">
        <v>23.4</v>
      </c>
      <c r="O27" s="21">
        <v>94.713280423280423</v>
      </c>
    </row>
    <row r="28" spans="3:15" x14ac:dyDescent="0.25">
      <c r="I28" s="14">
        <v>17</v>
      </c>
      <c r="J28" s="7" t="s">
        <v>29</v>
      </c>
      <c r="K28" s="4">
        <v>23.061666666666667</v>
      </c>
      <c r="L28" s="4">
        <v>18.73</v>
      </c>
      <c r="M28" s="4">
        <v>19.5625</v>
      </c>
      <c r="N28" s="4">
        <v>24.869999999999997</v>
      </c>
      <c r="O28" s="18">
        <v>86.224166666666662</v>
      </c>
    </row>
    <row r="29" spans="3:15" x14ac:dyDescent="0.25">
      <c r="I29" s="14">
        <v>18</v>
      </c>
      <c r="J29" s="7" t="s">
        <v>30</v>
      </c>
      <c r="K29" s="4">
        <v>22.79789947089947</v>
      </c>
      <c r="L29" s="4">
        <v>19.64</v>
      </c>
      <c r="M29" s="4">
        <v>16.582000000000001</v>
      </c>
      <c r="N29" s="4">
        <v>19.899999999999999</v>
      </c>
      <c r="O29" s="18">
        <v>78.919899470899466</v>
      </c>
    </row>
    <row r="30" spans="3:15" x14ac:dyDescent="0.25">
      <c r="I30" s="14">
        <v>19</v>
      </c>
      <c r="J30" s="7" t="s">
        <v>31</v>
      </c>
      <c r="K30" s="4">
        <v>11.334656084656084</v>
      </c>
      <c r="L30" s="4">
        <v>10.775833333333333</v>
      </c>
      <c r="M30" s="4">
        <v>13.275</v>
      </c>
      <c r="N30" s="4">
        <v>26.103333333333335</v>
      </c>
      <c r="O30" s="18">
        <v>61.488822751322758</v>
      </c>
    </row>
    <row r="31" spans="3:15" ht="13.8" thickBot="1" x14ac:dyDescent="0.3">
      <c r="I31" s="19">
        <v>20</v>
      </c>
      <c r="J31" s="6" t="s">
        <v>32</v>
      </c>
      <c r="K31" s="1">
        <v>24.285476190476189</v>
      </c>
      <c r="L31" s="1">
        <v>23.290833333333332</v>
      </c>
      <c r="M31" s="1">
        <v>21.462499999999999</v>
      </c>
      <c r="N31" s="1">
        <v>2.23</v>
      </c>
      <c r="O31" s="20">
        <v>71.268809523809523</v>
      </c>
    </row>
    <row r="32" spans="3:15" x14ac:dyDescent="0.25">
      <c r="I32" s="14">
        <v>21</v>
      </c>
      <c r="J32" s="5" t="s">
        <v>33</v>
      </c>
      <c r="K32" s="4">
        <v>24.017669312169314</v>
      </c>
      <c r="L32" s="4">
        <v>23.348333333333333</v>
      </c>
      <c r="M32" s="4">
        <v>15.262499999999999</v>
      </c>
      <c r="N32" s="4">
        <v>22.5</v>
      </c>
      <c r="O32" s="21">
        <v>85.12850264550265</v>
      </c>
    </row>
    <row r="33" spans="9:15" x14ac:dyDescent="0.25">
      <c r="I33" s="14">
        <v>22</v>
      </c>
      <c r="J33" s="7" t="s">
        <v>34</v>
      </c>
      <c r="K33" s="4">
        <v>5.2349391534391536</v>
      </c>
      <c r="L33" s="4">
        <v>0.36666666666666664</v>
      </c>
      <c r="M33" s="4">
        <v>0</v>
      </c>
      <c r="N33" s="4">
        <v>0</v>
      </c>
      <c r="O33" s="18">
        <v>5.6016058201058199</v>
      </c>
    </row>
    <row r="34" spans="9:15" x14ac:dyDescent="0.25">
      <c r="I34" s="14">
        <v>23</v>
      </c>
      <c r="J34" s="7" t="s">
        <v>35</v>
      </c>
      <c r="K34" s="4">
        <v>21.004619047619048</v>
      </c>
      <c r="L34" s="4">
        <v>19.8475</v>
      </c>
      <c r="M34" s="4">
        <v>16.1875</v>
      </c>
      <c r="N34" s="4">
        <v>23.394444444444446</v>
      </c>
      <c r="O34" s="18">
        <v>80.434063492063501</v>
      </c>
    </row>
    <row r="35" spans="9:15" x14ac:dyDescent="0.25">
      <c r="I35" s="14">
        <v>24</v>
      </c>
      <c r="J35" s="7" t="s">
        <v>36</v>
      </c>
      <c r="K35" s="4">
        <v>16.364560846560849</v>
      </c>
      <c r="L35" s="4">
        <v>14.965</v>
      </c>
      <c r="M35" s="4">
        <v>13.903</v>
      </c>
      <c r="N35" s="4">
        <v>22.208888888888886</v>
      </c>
      <c r="O35" s="18">
        <v>67.441449735449737</v>
      </c>
    </row>
    <row r="36" spans="9:15" ht="13.8" thickBot="1" x14ac:dyDescent="0.3">
      <c r="I36" s="22">
        <v>25</v>
      </c>
      <c r="J36" s="6" t="s">
        <v>37</v>
      </c>
      <c r="K36" s="1">
        <v>17.532851851851852</v>
      </c>
      <c r="L36" s="1">
        <v>12.020833333333334</v>
      </c>
      <c r="M36" s="1">
        <v>13.6</v>
      </c>
      <c r="N36" s="1">
        <v>7.75</v>
      </c>
      <c r="O36" s="20">
        <v>50.903685185185189</v>
      </c>
    </row>
    <row r="37" spans="9:15" x14ac:dyDescent="0.25">
      <c r="K37" s="56"/>
    </row>
  </sheetData>
  <mergeCells count="1">
    <mergeCell ref="B3:D3"/>
  </mergeCells>
  <conditionalFormatting sqref="O12:O36">
    <cfRule type="cellIs" dxfId="5" priority="1" stopIfTrue="1" operator="lessThan">
      <formula>#REF!</formula>
    </cfRule>
  </conditionalFormatting>
  <dataValidations count="1">
    <dataValidation type="list" allowBlank="1" showInputMessage="1" showErrorMessage="1" sqref="C15 C19" xr:uid="{5DA4DE16-2635-4D06-8A83-B09C892914A1}">
      <formula1>$J$12:$J$36</formula1>
    </dataValidation>
  </dataValidation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:I43"/>
  <sheetViews>
    <sheetView showGridLines="0" topLeftCell="A12" workbookViewId="0">
      <selection activeCell="F51" sqref="F51"/>
    </sheetView>
  </sheetViews>
  <sheetFormatPr baseColWidth="10" defaultRowHeight="13.2" x14ac:dyDescent="0.25"/>
  <cols>
    <col min="4" max="4" width="17.5546875" customWidth="1"/>
    <col min="8" max="8" width="22.5546875" bestFit="1" customWidth="1"/>
    <col min="9" max="9" width="13" bestFit="1" customWidth="1"/>
  </cols>
  <sheetData>
    <row r="2" spans="2:9" ht="20.399999999999999" thickBot="1" x14ac:dyDescent="0.45">
      <c r="B2" s="54" t="s">
        <v>53</v>
      </c>
      <c r="C2" s="54"/>
      <c r="D2" s="54"/>
    </row>
    <row r="3" spans="2:9" ht="13.8" thickTop="1" x14ac:dyDescent="0.25"/>
    <row r="13" spans="2:9" ht="15" thickBot="1" x14ac:dyDescent="0.35">
      <c r="B13" s="48" t="s">
        <v>61</v>
      </c>
      <c r="C13" s="48" t="s">
        <v>51</v>
      </c>
      <c r="D13" s="48" t="s">
        <v>54</v>
      </c>
      <c r="H13" s="48" t="s">
        <v>52</v>
      </c>
      <c r="I13" s="48" t="s">
        <v>54</v>
      </c>
    </row>
    <row r="14" spans="2:9" x14ac:dyDescent="0.25">
      <c r="B14" s="11" t="s">
        <v>62</v>
      </c>
      <c r="C14" s="42">
        <f ca="1">RANDBETWEEN(7500,220000)</f>
        <v>74296</v>
      </c>
      <c r="D14" s="45" t="str">
        <f ca="1">VLOOKUP(C14,$H$23:$I$28,2,1)</f>
        <v>Oro</v>
      </c>
      <c r="H14" s="38">
        <v>15000</v>
      </c>
      <c r="I14" s="13" t="s">
        <v>55</v>
      </c>
    </row>
    <row r="15" spans="2:9" x14ac:dyDescent="0.25">
      <c r="B15" s="14" t="s">
        <v>63</v>
      </c>
      <c r="C15" s="43">
        <f t="shared" ref="C15:C43" ca="1" si="0">RANDBETWEEN(7500,220000)</f>
        <v>35956</v>
      </c>
      <c r="D15" s="46" t="str">
        <f t="shared" ref="D15:D43" ca="1" si="1">VLOOKUP(C15,$H$23:$I$28,2,1)</f>
        <v>Ejecutivo</v>
      </c>
      <c r="H15" s="39">
        <v>25000</v>
      </c>
      <c r="I15" s="15" t="s">
        <v>56</v>
      </c>
    </row>
    <row r="16" spans="2:9" x14ac:dyDescent="0.25">
      <c r="B16" s="14" t="s">
        <v>64</v>
      </c>
      <c r="C16" s="43">
        <f t="shared" ca="1" si="0"/>
        <v>120448</v>
      </c>
      <c r="D16" s="46" t="str">
        <f t="shared" ca="1" si="1"/>
        <v>Platino</v>
      </c>
      <c r="H16" s="39">
        <v>40000</v>
      </c>
      <c r="I16" s="15" t="s">
        <v>60</v>
      </c>
    </row>
    <row r="17" spans="2:9" x14ac:dyDescent="0.25">
      <c r="B17" s="14" t="s">
        <v>65</v>
      </c>
      <c r="C17" s="43">
        <f t="shared" ca="1" si="0"/>
        <v>118764</v>
      </c>
      <c r="D17" s="46" t="str">
        <f t="shared" ca="1" si="1"/>
        <v>Platino</v>
      </c>
      <c r="H17" s="39">
        <v>60000</v>
      </c>
      <c r="I17" s="15" t="s">
        <v>59</v>
      </c>
    </row>
    <row r="18" spans="2:9" x14ac:dyDescent="0.25">
      <c r="B18" s="14" t="s">
        <v>66</v>
      </c>
      <c r="C18" s="43">
        <f t="shared" ca="1" si="0"/>
        <v>11966</v>
      </c>
      <c r="D18" s="46" t="str">
        <f t="shared" ca="1" si="1"/>
        <v>Básico</v>
      </c>
      <c r="H18" s="39">
        <v>90000</v>
      </c>
      <c r="I18" s="15" t="s">
        <v>58</v>
      </c>
    </row>
    <row r="19" spans="2:9" ht="13.8" thickBot="1" x14ac:dyDescent="0.3">
      <c r="B19" s="14" t="s">
        <v>67</v>
      </c>
      <c r="C19" s="43">
        <f t="shared" ca="1" si="0"/>
        <v>115116</v>
      </c>
      <c r="D19" s="46" t="str">
        <f t="shared" ca="1" si="1"/>
        <v>Platino</v>
      </c>
      <c r="H19" s="40">
        <v>150000</v>
      </c>
      <c r="I19" s="41" t="s">
        <v>57</v>
      </c>
    </row>
    <row r="20" spans="2:9" x14ac:dyDescent="0.25">
      <c r="B20" s="14" t="s">
        <v>68</v>
      </c>
      <c r="C20" s="43">
        <f t="shared" ca="1" si="0"/>
        <v>165998</v>
      </c>
      <c r="D20" s="46" t="str">
        <f t="shared" ca="1" si="1"/>
        <v>Platino</v>
      </c>
    </row>
    <row r="21" spans="2:9" x14ac:dyDescent="0.25">
      <c r="B21" s="14" t="s">
        <v>69</v>
      </c>
      <c r="C21" s="43">
        <f t="shared" ca="1" si="0"/>
        <v>100761</v>
      </c>
      <c r="D21" s="46" t="str">
        <f t="shared" ca="1" si="1"/>
        <v>Platino</v>
      </c>
    </row>
    <row r="22" spans="2:9" ht="13.8" thickBot="1" x14ac:dyDescent="0.3">
      <c r="B22" s="14" t="s">
        <v>70</v>
      </c>
      <c r="C22" s="43">
        <f t="shared" ca="1" si="0"/>
        <v>216387</v>
      </c>
      <c r="D22" s="46" t="str">
        <f t="shared" ca="1" si="1"/>
        <v>Platino</v>
      </c>
    </row>
    <row r="23" spans="2:9" ht="13.8" thickBot="1" x14ac:dyDescent="0.3">
      <c r="B23" s="14" t="s">
        <v>71</v>
      </c>
      <c r="C23" s="43">
        <f t="shared" ca="1" si="0"/>
        <v>181618</v>
      </c>
      <c r="D23" s="46" t="str">
        <f t="shared" ca="1" si="1"/>
        <v>Platino</v>
      </c>
      <c r="H23" s="38">
        <v>0</v>
      </c>
      <c r="I23" s="13" t="s">
        <v>55</v>
      </c>
    </row>
    <row r="24" spans="2:9" x14ac:dyDescent="0.25">
      <c r="B24" s="14" t="s">
        <v>72</v>
      </c>
      <c r="C24" s="43">
        <f t="shared" ca="1" si="0"/>
        <v>206275</v>
      </c>
      <c r="D24" s="46" t="str">
        <f t="shared" ca="1" si="1"/>
        <v>Platino</v>
      </c>
      <c r="H24" s="38">
        <v>15000</v>
      </c>
      <c r="I24" s="15" t="s">
        <v>56</v>
      </c>
    </row>
    <row r="25" spans="2:9" x14ac:dyDescent="0.25">
      <c r="B25" s="14" t="s">
        <v>73</v>
      </c>
      <c r="C25" s="43">
        <f t="shared" ca="1" si="0"/>
        <v>137414</v>
      </c>
      <c r="D25" s="46" t="str">
        <f t="shared" ca="1" si="1"/>
        <v>Platino</v>
      </c>
      <c r="H25" s="39">
        <v>25000</v>
      </c>
      <c r="I25" s="15" t="s">
        <v>60</v>
      </c>
    </row>
    <row r="26" spans="2:9" x14ac:dyDescent="0.25">
      <c r="B26" s="14" t="s">
        <v>74</v>
      </c>
      <c r="C26" s="43">
        <f t="shared" ca="1" si="0"/>
        <v>40703</v>
      </c>
      <c r="D26" s="46" t="str">
        <f t="shared" ca="1" si="1"/>
        <v>Premier</v>
      </c>
      <c r="H26" s="39">
        <v>40000</v>
      </c>
      <c r="I26" s="15" t="s">
        <v>59</v>
      </c>
    </row>
    <row r="27" spans="2:9" x14ac:dyDescent="0.25">
      <c r="B27" s="14" t="s">
        <v>75</v>
      </c>
      <c r="C27" s="43">
        <f t="shared" ca="1" si="0"/>
        <v>119621</v>
      </c>
      <c r="D27" s="46" t="str">
        <f t="shared" ca="1" si="1"/>
        <v>Platino</v>
      </c>
      <c r="H27" s="39">
        <v>60000</v>
      </c>
      <c r="I27" s="15" t="s">
        <v>58</v>
      </c>
    </row>
    <row r="28" spans="2:9" ht="13.8" thickBot="1" x14ac:dyDescent="0.3">
      <c r="B28" s="14" t="s">
        <v>76</v>
      </c>
      <c r="C28" s="43">
        <f t="shared" ca="1" si="0"/>
        <v>216391</v>
      </c>
      <c r="D28" s="46" t="str">
        <f t="shared" ca="1" si="1"/>
        <v>Platino</v>
      </c>
      <c r="H28" s="39">
        <v>90000</v>
      </c>
      <c r="I28" s="41" t="s">
        <v>57</v>
      </c>
    </row>
    <row r="29" spans="2:9" x14ac:dyDescent="0.25">
      <c r="B29" s="14" t="s">
        <v>77</v>
      </c>
      <c r="C29" s="43">
        <f t="shared" ca="1" si="0"/>
        <v>159332</v>
      </c>
      <c r="D29" s="46" t="str">
        <f t="shared" ca="1" si="1"/>
        <v>Platino</v>
      </c>
    </row>
    <row r="30" spans="2:9" x14ac:dyDescent="0.25">
      <c r="B30" s="14" t="s">
        <v>78</v>
      </c>
      <c r="C30" s="43">
        <f t="shared" ca="1" si="0"/>
        <v>173350</v>
      </c>
      <c r="D30" s="46" t="str">
        <f t="shared" ca="1" si="1"/>
        <v>Platino</v>
      </c>
    </row>
    <row r="31" spans="2:9" x14ac:dyDescent="0.25">
      <c r="B31" s="14" t="s">
        <v>79</v>
      </c>
      <c r="C31" s="43">
        <f t="shared" ca="1" si="0"/>
        <v>140915</v>
      </c>
      <c r="D31" s="46" t="str">
        <f t="shared" ca="1" si="1"/>
        <v>Platino</v>
      </c>
    </row>
    <row r="32" spans="2:9" x14ac:dyDescent="0.25">
      <c r="B32" s="14" t="s">
        <v>80</v>
      </c>
      <c r="C32" s="43">
        <f t="shared" ca="1" si="0"/>
        <v>152216</v>
      </c>
      <c r="D32" s="46" t="str">
        <f t="shared" ca="1" si="1"/>
        <v>Platino</v>
      </c>
    </row>
    <row r="33" spans="2:4" x14ac:dyDescent="0.25">
      <c r="B33" s="14" t="s">
        <v>81</v>
      </c>
      <c r="C33" s="43">
        <f t="shared" ca="1" si="0"/>
        <v>208485</v>
      </c>
      <c r="D33" s="46" t="str">
        <f t="shared" ca="1" si="1"/>
        <v>Platino</v>
      </c>
    </row>
    <row r="34" spans="2:4" x14ac:dyDescent="0.25">
      <c r="B34" s="14" t="s">
        <v>82</v>
      </c>
      <c r="C34" s="43">
        <f t="shared" ca="1" si="0"/>
        <v>85953</v>
      </c>
      <c r="D34" s="46" t="str">
        <f t="shared" ca="1" si="1"/>
        <v>Oro</v>
      </c>
    </row>
    <row r="35" spans="2:4" x14ac:dyDescent="0.25">
      <c r="B35" s="14" t="s">
        <v>83</v>
      </c>
      <c r="C35" s="43">
        <f t="shared" ca="1" si="0"/>
        <v>131319</v>
      </c>
      <c r="D35" s="46" t="str">
        <f t="shared" ca="1" si="1"/>
        <v>Platino</v>
      </c>
    </row>
    <row r="36" spans="2:4" x14ac:dyDescent="0.25">
      <c r="B36" s="14" t="s">
        <v>84</v>
      </c>
      <c r="C36" s="43">
        <f t="shared" ca="1" si="0"/>
        <v>77015</v>
      </c>
      <c r="D36" s="46" t="str">
        <f t="shared" ca="1" si="1"/>
        <v>Oro</v>
      </c>
    </row>
    <row r="37" spans="2:4" x14ac:dyDescent="0.25">
      <c r="B37" s="14" t="s">
        <v>85</v>
      </c>
      <c r="C37" s="43">
        <f t="shared" ca="1" si="0"/>
        <v>147905</v>
      </c>
      <c r="D37" s="46" t="str">
        <f t="shared" ca="1" si="1"/>
        <v>Platino</v>
      </c>
    </row>
    <row r="38" spans="2:4" x14ac:dyDescent="0.25">
      <c r="B38" s="14" t="s">
        <v>86</v>
      </c>
      <c r="C38" s="43">
        <f t="shared" ca="1" si="0"/>
        <v>156562</v>
      </c>
      <c r="D38" s="46" t="str">
        <f t="shared" ca="1" si="1"/>
        <v>Platino</v>
      </c>
    </row>
    <row r="39" spans="2:4" x14ac:dyDescent="0.25">
      <c r="B39" s="14" t="s">
        <v>87</v>
      </c>
      <c r="C39" s="43">
        <f t="shared" ca="1" si="0"/>
        <v>168919</v>
      </c>
      <c r="D39" s="46" t="str">
        <f t="shared" ca="1" si="1"/>
        <v>Platino</v>
      </c>
    </row>
    <row r="40" spans="2:4" x14ac:dyDescent="0.25">
      <c r="B40" s="14" t="s">
        <v>88</v>
      </c>
      <c r="C40" s="43">
        <f t="shared" ca="1" si="0"/>
        <v>143529</v>
      </c>
      <c r="D40" s="46" t="str">
        <f t="shared" ca="1" si="1"/>
        <v>Platino</v>
      </c>
    </row>
    <row r="41" spans="2:4" x14ac:dyDescent="0.25">
      <c r="B41" s="14" t="s">
        <v>89</v>
      </c>
      <c r="C41" s="43">
        <f t="shared" ca="1" si="0"/>
        <v>184374</v>
      </c>
      <c r="D41" s="46" t="str">
        <f t="shared" ca="1" si="1"/>
        <v>Platino</v>
      </c>
    </row>
    <row r="42" spans="2:4" x14ac:dyDescent="0.25">
      <c r="B42" s="14" t="s">
        <v>90</v>
      </c>
      <c r="C42" s="43">
        <f t="shared" ca="1" si="0"/>
        <v>60904</v>
      </c>
      <c r="D42" s="46" t="str">
        <f t="shared" ca="1" si="1"/>
        <v>Oro</v>
      </c>
    </row>
    <row r="43" spans="2:4" ht="13.8" thickBot="1" x14ac:dyDescent="0.3">
      <c r="B43" s="19" t="s">
        <v>91</v>
      </c>
      <c r="C43" s="44">
        <f t="shared" ca="1" si="0"/>
        <v>105218</v>
      </c>
      <c r="D43" s="47" t="str">
        <f t="shared" ca="1" si="1"/>
        <v>Platino</v>
      </c>
    </row>
  </sheetData>
  <mergeCells count="1">
    <mergeCell ref="B2:D2"/>
  </mergeCells>
  <pageMargins left="0.7" right="0.7" top="0.75" bottom="0.75" header="0.3" footer="0.3"/>
  <pageSetup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H121"/>
  <sheetViews>
    <sheetView showGridLines="0" tabSelected="1" workbookViewId="0">
      <selection activeCell="D10" sqref="D10"/>
    </sheetView>
  </sheetViews>
  <sheetFormatPr baseColWidth="10" defaultRowHeight="13.2" x14ac:dyDescent="0.25"/>
  <cols>
    <col min="2" max="2" width="9.109375" bestFit="1" customWidth="1"/>
    <col min="3" max="3" width="33.5546875" customWidth="1"/>
    <col min="4" max="4" width="12.6640625" customWidth="1"/>
    <col min="5" max="5" width="11.88671875" bestFit="1" customWidth="1"/>
    <col min="7" max="7" width="33.6640625" customWidth="1"/>
  </cols>
  <sheetData>
    <row r="2" spans="2:8" ht="20.399999999999999" thickBot="1" x14ac:dyDescent="0.45">
      <c r="B2" s="54" t="s">
        <v>50</v>
      </c>
      <c r="C2" s="54"/>
      <c r="D2" s="54"/>
    </row>
    <row r="3" spans="2:8" ht="13.8" thickTop="1" x14ac:dyDescent="0.25"/>
    <row r="4" spans="2:8" ht="13.8" thickBot="1" x14ac:dyDescent="0.3"/>
    <row r="5" spans="2:8" ht="14.4" x14ac:dyDescent="0.3">
      <c r="G5" s="28" t="s">
        <v>47</v>
      </c>
      <c r="H5" s="29" t="s">
        <v>41</v>
      </c>
    </row>
    <row r="6" spans="2:8" x14ac:dyDescent="0.25">
      <c r="G6" s="30">
        <v>0</v>
      </c>
      <c r="H6" s="31">
        <v>1</v>
      </c>
    </row>
    <row r="7" spans="2:8" x14ac:dyDescent="0.25">
      <c r="G7" s="30">
        <v>100</v>
      </c>
      <c r="H7" s="31">
        <v>0.75</v>
      </c>
    </row>
    <row r="8" spans="2:8" x14ac:dyDescent="0.25">
      <c r="B8" s="8"/>
      <c r="G8" s="30">
        <v>200</v>
      </c>
      <c r="H8" s="31">
        <v>0.5</v>
      </c>
    </row>
    <row r="9" spans="2:8" ht="13.8" thickBot="1" x14ac:dyDescent="0.3">
      <c r="G9" s="32">
        <v>500</v>
      </c>
      <c r="H9" s="33">
        <v>0.25</v>
      </c>
    </row>
    <row r="10" spans="2:8" ht="15" thickBot="1" x14ac:dyDescent="0.35">
      <c r="C10" s="27" t="s">
        <v>49</v>
      </c>
      <c r="D10" s="55" cm="1">
        <f t="array" ref="D10">SUM(D13:D121*B13:B121)</f>
        <v>150937.5</v>
      </c>
      <c r="E10" s="53" t="str">
        <f>+IF(D10="","",IF(D10=150937.5,"✓","✘"))</f>
        <v>✓</v>
      </c>
    </row>
    <row r="11" spans="2:8" ht="15" thickBot="1" x14ac:dyDescent="0.35">
      <c r="G11" s="28" t="s">
        <v>48</v>
      </c>
      <c r="H11" s="34" t="s">
        <v>41</v>
      </c>
    </row>
    <row r="12" spans="2:8" ht="13.8" thickBot="1" x14ac:dyDescent="0.3">
      <c r="B12" s="24" t="s">
        <v>44</v>
      </c>
      <c r="C12" s="27" t="s">
        <v>43</v>
      </c>
      <c r="D12" s="25" t="s">
        <v>45</v>
      </c>
      <c r="G12" s="30">
        <v>0</v>
      </c>
      <c r="H12" s="31">
        <v>3</v>
      </c>
    </row>
    <row r="13" spans="2:8" ht="15" thickBot="1" x14ac:dyDescent="0.35">
      <c r="B13" s="35">
        <v>97</v>
      </c>
      <c r="C13" s="49" t="s">
        <v>47</v>
      </c>
      <c r="D13" s="52" cm="1">
        <f t="array" ref="D13">_xlfn.IFS(C13=$G$5,VLOOKUP(B13,$G$5:$H$9,2,1),C13=$G$11,VLOOKUP(B13,$G$11:$H$15,2,1),C13=$G$17,VLOOKUP(B13,$G$17:$H$21,2,1),C13=$G$23,VLOOKUP(B13,$G$23:$H$27,2,1))</f>
        <v>1</v>
      </c>
      <c r="E13" s="53" t="str">
        <f>+IF(D13="","",IF(D13=+IF(C13=$G$5,VLOOKUP(B13,$G$6:$H$9,2,1),IF(C13=$G$11,VLOOKUP(B13,$G$12:$H$15,2,1),IF(C13=$G$17,VLOOKUP(B13,$G$18:$H$21,2,1),VLOOKUP(B13,$G$24:$H$27,2,1)))),"✓","✘"))</f>
        <v>✓</v>
      </c>
      <c r="G13" s="30">
        <v>100</v>
      </c>
      <c r="H13" s="31">
        <v>2.5</v>
      </c>
    </row>
    <row r="14" spans="2:8" ht="15" thickBot="1" x14ac:dyDescent="0.35">
      <c r="B14" s="36">
        <v>580</v>
      </c>
      <c r="C14" s="50" t="s">
        <v>42</v>
      </c>
      <c r="D14" s="52" cm="1">
        <f t="array" ref="D14">_xlfn.IFS(C14=$G$5,VLOOKUP(B14,$G$5:$H$9,2,1),C14=$G$11,VLOOKUP(B14,$G$11:$H$15,2,1),C14=$G$17,VLOOKUP(B14,$G$17:$H$21,2,1),C14=$G$23,VLOOKUP(B14,$G$23:$H$27,2,1))</f>
        <v>2</v>
      </c>
      <c r="E14" s="53" t="str">
        <f t="shared" ref="E14:E77" si="0">+IF(D14="","",IF(D14=+IF(C14=$G$5,VLOOKUP(B14,$G$6:$H$9,2,1),IF(C14=$G$11,VLOOKUP(B14,$G$12:$H$15,2,1),IF(C14=$G$17,VLOOKUP(B14,$G$18:$H$21,2,1),VLOOKUP(B14,$G$24:$H$27,2,1)))),"✓","✘"))</f>
        <v>✓</v>
      </c>
      <c r="G14" s="30">
        <v>200</v>
      </c>
      <c r="H14" s="31">
        <v>2</v>
      </c>
    </row>
    <row r="15" spans="2:8" ht="15" thickBot="1" x14ac:dyDescent="0.35">
      <c r="B15" s="36">
        <v>110</v>
      </c>
      <c r="C15" s="50" t="s">
        <v>47</v>
      </c>
      <c r="D15" s="52" cm="1">
        <f t="array" ref="D15">_xlfn.IFS(C15=$G$5,VLOOKUP(B15,$G$5:$H$9,2,1),C15=$G$11,VLOOKUP(B15,$G$11:$H$15,2,1),C15=$G$17,VLOOKUP(B15,$G$17:$H$21,2,1),C15=$G$23,VLOOKUP(B15,$G$23:$H$27,2,1))</f>
        <v>0.75</v>
      </c>
      <c r="E15" s="53" t="str">
        <f t="shared" si="0"/>
        <v>✓</v>
      </c>
      <c r="G15" s="32">
        <v>500</v>
      </c>
      <c r="H15" s="33">
        <v>1</v>
      </c>
    </row>
    <row r="16" spans="2:8" ht="15" thickBot="1" x14ac:dyDescent="0.35">
      <c r="B16" s="36">
        <v>719</v>
      </c>
      <c r="C16" s="50" t="s">
        <v>46</v>
      </c>
      <c r="D16" s="52" cm="1">
        <f t="array" ref="D16">_xlfn.IFS(C16=$G$5,VLOOKUP(B16,$G$5:$H$9,2,1),C16=$G$11,VLOOKUP(B16,$G$11:$H$15,2,1),C16=$G$17,VLOOKUP(B16,$G$17:$H$21,2,1),C16=$G$23,VLOOKUP(B16,$G$23:$H$27,2,1))</f>
        <v>4</v>
      </c>
      <c r="E16" s="53" t="str">
        <f t="shared" si="0"/>
        <v>✓</v>
      </c>
    </row>
    <row r="17" spans="2:8" ht="15" thickBot="1" x14ac:dyDescent="0.35">
      <c r="B17" s="36">
        <v>1413</v>
      </c>
      <c r="C17" s="50" t="s">
        <v>42</v>
      </c>
      <c r="D17" s="52" cm="1">
        <f t="array" ref="D17">_xlfn.IFS(C17=$G$5,VLOOKUP(B17,$G$5:$H$9,2,1),C17=$G$11,VLOOKUP(B17,$G$11:$H$15,2,1),C17=$G$17,VLOOKUP(B17,$G$17:$H$21,2,1),C17=$G$23,VLOOKUP(B17,$G$23:$H$27,2,1))</f>
        <v>2</v>
      </c>
      <c r="E17" s="53" t="str">
        <f t="shared" si="0"/>
        <v>✓</v>
      </c>
      <c r="G17" s="28" t="s">
        <v>42</v>
      </c>
      <c r="H17" s="34" t="s">
        <v>41</v>
      </c>
    </row>
    <row r="18" spans="2:8" ht="15" thickBot="1" x14ac:dyDescent="0.35">
      <c r="B18" s="36">
        <v>618</v>
      </c>
      <c r="C18" s="50" t="s">
        <v>48</v>
      </c>
      <c r="D18" s="52" cm="1">
        <f t="array" ref="D18">_xlfn.IFS(C18=$G$5,VLOOKUP(B18,$G$5:$H$9,2,1),C18=$G$11,VLOOKUP(B18,$G$11:$H$15,2,1),C18=$G$17,VLOOKUP(B18,$G$17:$H$21,2,1),C18=$G$23,VLOOKUP(B18,$G$23:$H$27,2,1))</f>
        <v>1</v>
      </c>
      <c r="E18" s="53" t="str">
        <f t="shared" si="0"/>
        <v>✓</v>
      </c>
      <c r="G18" s="30">
        <v>0</v>
      </c>
      <c r="H18" s="31">
        <v>5</v>
      </c>
    </row>
    <row r="19" spans="2:8" ht="15" thickBot="1" x14ac:dyDescent="0.35">
      <c r="B19" s="36">
        <v>67</v>
      </c>
      <c r="C19" s="50" t="s">
        <v>48</v>
      </c>
      <c r="D19" s="52" cm="1">
        <f t="array" ref="D19">_xlfn.IFS(C19=$G$5,VLOOKUP(B19,$G$5:$H$9,2,1),C19=$G$11,VLOOKUP(B19,$G$11:$H$15,2,1),C19=$G$17,VLOOKUP(B19,$G$17:$H$21,2,1),C19=$G$23,VLOOKUP(B19,$G$23:$H$27,2,1))</f>
        <v>3</v>
      </c>
      <c r="E19" s="53" t="str">
        <f t="shared" si="0"/>
        <v>✓</v>
      </c>
      <c r="G19" s="30">
        <v>100</v>
      </c>
      <c r="H19" s="31">
        <v>4</v>
      </c>
    </row>
    <row r="20" spans="2:8" ht="15" thickBot="1" x14ac:dyDescent="0.35">
      <c r="B20" s="36">
        <v>707</v>
      </c>
      <c r="C20" s="50" t="s">
        <v>48</v>
      </c>
      <c r="D20" s="52" cm="1">
        <f t="array" ref="D20">_xlfn.IFS(C20=$G$5,VLOOKUP(B20,$G$5:$H$9,2,1),C20=$G$11,VLOOKUP(B20,$G$11:$H$15,2,1),C20=$G$17,VLOOKUP(B20,$G$17:$H$21,2,1),C20=$G$23,VLOOKUP(B20,$G$23:$H$27,2,1))</f>
        <v>1</v>
      </c>
      <c r="E20" s="53" t="str">
        <f t="shared" si="0"/>
        <v>✓</v>
      </c>
      <c r="G20" s="30">
        <v>200</v>
      </c>
      <c r="H20" s="31">
        <v>3</v>
      </c>
    </row>
    <row r="21" spans="2:8" ht="15" thickBot="1" x14ac:dyDescent="0.35">
      <c r="B21" s="36">
        <v>596</v>
      </c>
      <c r="C21" s="50" t="s">
        <v>48</v>
      </c>
      <c r="D21" s="52" cm="1">
        <f t="array" ref="D21">_xlfn.IFS(C21=$G$5,VLOOKUP(B21,$G$5:$H$9,2,1),C21=$G$11,VLOOKUP(B21,$G$11:$H$15,2,1),C21=$G$17,VLOOKUP(B21,$G$17:$H$21,2,1),C21=$G$23,VLOOKUP(B21,$G$23:$H$27,2,1))</f>
        <v>1</v>
      </c>
      <c r="E21" s="53" t="str">
        <f t="shared" si="0"/>
        <v>✓</v>
      </c>
      <c r="G21" s="32">
        <v>500</v>
      </c>
      <c r="H21" s="33">
        <v>2</v>
      </c>
    </row>
    <row r="22" spans="2:8" ht="15" thickBot="1" x14ac:dyDescent="0.35">
      <c r="B22" s="36">
        <v>266</v>
      </c>
      <c r="C22" s="50" t="s">
        <v>48</v>
      </c>
      <c r="D22" s="52" cm="1">
        <f t="array" ref="D22">_xlfn.IFS(C22=$G$5,VLOOKUP(B22,$G$5:$H$9,2,1),C22=$G$11,VLOOKUP(B22,$G$11:$H$15,2,1),C22=$G$17,VLOOKUP(B22,$G$17:$H$21,2,1),C22=$G$23,VLOOKUP(B22,$G$23:$H$27,2,1))</f>
        <v>2</v>
      </c>
      <c r="E22" s="53" t="str">
        <f t="shared" si="0"/>
        <v>✓</v>
      </c>
    </row>
    <row r="23" spans="2:8" ht="15" thickBot="1" x14ac:dyDescent="0.35">
      <c r="B23" s="36">
        <v>696</v>
      </c>
      <c r="C23" s="50" t="s">
        <v>46</v>
      </c>
      <c r="D23" s="52" cm="1">
        <f t="array" ref="D23">_xlfn.IFS(C23=$G$5,VLOOKUP(B23,$G$5:$H$9,2,1),C23=$G$11,VLOOKUP(B23,$G$11:$H$15,2,1),C23=$G$17,VLOOKUP(B23,$G$17:$H$21,2,1),C23=$G$23,VLOOKUP(B23,$G$23:$H$27,2,1))</f>
        <v>4</v>
      </c>
      <c r="E23" s="53" t="str">
        <f t="shared" si="0"/>
        <v>✓</v>
      </c>
      <c r="G23" s="28" t="s">
        <v>46</v>
      </c>
      <c r="H23" s="34" t="s">
        <v>41</v>
      </c>
    </row>
    <row r="24" spans="2:8" ht="15" thickBot="1" x14ac:dyDescent="0.35">
      <c r="B24" s="36">
        <v>1116</v>
      </c>
      <c r="C24" s="50" t="s">
        <v>48</v>
      </c>
      <c r="D24" s="52" cm="1">
        <f t="array" ref="D24">_xlfn.IFS(C24=$G$5,VLOOKUP(B24,$G$5:$H$9,2,1),C24=$G$11,VLOOKUP(B24,$G$11:$H$15,2,1),C24=$G$17,VLOOKUP(B24,$G$17:$H$21,2,1),C24=$G$23,VLOOKUP(B24,$G$23:$H$27,2,1))</f>
        <v>1</v>
      </c>
      <c r="E24" s="53" t="str">
        <f t="shared" si="0"/>
        <v>✓</v>
      </c>
      <c r="G24" s="30">
        <v>0</v>
      </c>
      <c r="H24" s="31">
        <v>8</v>
      </c>
    </row>
    <row r="25" spans="2:8" ht="15" thickBot="1" x14ac:dyDescent="0.35">
      <c r="B25" s="36">
        <v>1173</v>
      </c>
      <c r="C25" s="50" t="s">
        <v>47</v>
      </c>
      <c r="D25" s="52" cm="1">
        <f t="array" ref="D25">_xlfn.IFS(C25=$G$5,VLOOKUP(B25,$G$5:$H$9,2,1),C25=$G$11,VLOOKUP(B25,$G$11:$H$15,2,1),C25=$G$17,VLOOKUP(B25,$G$17:$H$21,2,1),C25=$G$23,VLOOKUP(B25,$G$23:$H$27,2,1))</f>
        <v>0.25</v>
      </c>
      <c r="E25" s="53" t="str">
        <f t="shared" si="0"/>
        <v>✓</v>
      </c>
      <c r="G25" s="30">
        <v>100</v>
      </c>
      <c r="H25" s="31">
        <v>7</v>
      </c>
    </row>
    <row r="26" spans="2:8" ht="15" thickBot="1" x14ac:dyDescent="0.35">
      <c r="B26" s="36">
        <v>670</v>
      </c>
      <c r="C26" s="50" t="s">
        <v>46</v>
      </c>
      <c r="D26" s="52" cm="1">
        <f t="array" ref="D26">_xlfn.IFS(C26=$G$5,VLOOKUP(B26,$G$5:$H$9,2,1),C26=$G$11,VLOOKUP(B26,$G$11:$H$15,2,1),C26=$G$17,VLOOKUP(B26,$G$17:$H$21,2,1),C26=$G$23,VLOOKUP(B26,$G$23:$H$27,2,1))</f>
        <v>4</v>
      </c>
      <c r="E26" s="53" t="str">
        <f t="shared" si="0"/>
        <v>✓</v>
      </c>
      <c r="G26" s="30">
        <v>200</v>
      </c>
      <c r="H26" s="31">
        <v>6</v>
      </c>
    </row>
    <row r="27" spans="2:8" ht="15" thickBot="1" x14ac:dyDescent="0.35">
      <c r="B27" s="36">
        <v>75</v>
      </c>
      <c r="C27" s="50" t="s">
        <v>47</v>
      </c>
      <c r="D27" s="52" cm="1">
        <f t="array" ref="D27">_xlfn.IFS(C27=$G$5,VLOOKUP(B27,$G$5:$H$9,2,1),C27=$G$11,VLOOKUP(B27,$G$11:$H$15,2,1),C27=$G$17,VLOOKUP(B27,$G$17:$H$21,2,1),C27=$G$23,VLOOKUP(B27,$G$23:$H$27,2,1))</f>
        <v>1</v>
      </c>
      <c r="E27" s="53" t="str">
        <f t="shared" si="0"/>
        <v>✓</v>
      </c>
      <c r="G27" s="32">
        <v>500</v>
      </c>
      <c r="H27" s="33">
        <v>4</v>
      </c>
    </row>
    <row r="28" spans="2:8" ht="15" thickBot="1" x14ac:dyDescent="0.35">
      <c r="B28" s="36">
        <v>101</v>
      </c>
      <c r="C28" s="50" t="s">
        <v>48</v>
      </c>
      <c r="D28" s="52" cm="1">
        <f t="array" ref="D28">_xlfn.IFS(C28=$G$5,VLOOKUP(B28,$G$5:$H$9,2,1),C28=$G$11,VLOOKUP(B28,$G$11:$H$15,2,1),C28=$G$17,VLOOKUP(B28,$G$17:$H$21,2,1),C28=$G$23,VLOOKUP(B28,$G$23:$H$27,2,1))</f>
        <v>2.5</v>
      </c>
      <c r="E28" s="53" t="str">
        <f t="shared" si="0"/>
        <v>✓</v>
      </c>
    </row>
    <row r="29" spans="2:8" ht="15" thickBot="1" x14ac:dyDescent="0.35">
      <c r="B29" s="36">
        <v>465</v>
      </c>
      <c r="C29" s="50" t="s">
        <v>46</v>
      </c>
      <c r="D29" s="52" cm="1">
        <f t="array" ref="D29">_xlfn.IFS(C29=$G$5,VLOOKUP(B29,$G$5:$H$9,2,1),C29=$G$11,VLOOKUP(B29,$G$11:$H$15,2,1),C29=$G$17,VLOOKUP(B29,$G$17:$H$21,2,1),C29=$G$23,VLOOKUP(B29,$G$23:$H$27,2,1))</f>
        <v>6</v>
      </c>
      <c r="E29" s="53" t="str">
        <f t="shared" si="0"/>
        <v>✓</v>
      </c>
    </row>
    <row r="30" spans="2:8" ht="15" thickBot="1" x14ac:dyDescent="0.35">
      <c r="B30" s="36">
        <v>1467</v>
      </c>
      <c r="C30" s="50" t="s">
        <v>46</v>
      </c>
      <c r="D30" s="52" cm="1">
        <f t="array" ref="D30">_xlfn.IFS(C30=$G$5,VLOOKUP(B30,$G$5:$H$9,2,1),C30=$G$11,VLOOKUP(B30,$G$11:$H$15,2,1),C30=$G$17,VLOOKUP(B30,$G$17:$H$21,2,1),C30=$G$23,VLOOKUP(B30,$G$23:$H$27,2,1))</f>
        <v>4</v>
      </c>
      <c r="E30" s="53" t="str">
        <f t="shared" si="0"/>
        <v>✓</v>
      </c>
    </row>
    <row r="31" spans="2:8" ht="15" thickBot="1" x14ac:dyDescent="0.35">
      <c r="B31" s="36">
        <v>1238</v>
      </c>
      <c r="C31" s="50" t="s">
        <v>42</v>
      </c>
      <c r="D31" s="52" cm="1">
        <f t="array" ref="D31">_xlfn.IFS(C31=$G$5,VLOOKUP(B31,$G$5:$H$9,2,1),C31=$G$11,VLOOKUP(B31,$G$11:$H$15,2,1),C31=$G$17,VLOOKUP(B31,$G$17:$H$21,2,1),C31=$G$23,VLOOKUP(B31,$G$23:$H$27,2,1))</f>
        <v>2</v>
      </c>
      <c r="E31" s="53" t="str">
        <f t="shared" si="0"/>
        <v>✓</v>
      </c>
    </row>
    <row r="32" spans="2:8" ht="15" thickBot="1" x14ac:dyDescent="0.35">
      <c r="B32" s="36">
        <v>621</v>
      </c>
      <c r="C32" s="50" t="s">
        <v>42</v>
      </c>
      <c r="D32" s="52" cm="1">
        <f t="array" ref="D32">_xlfn.IFS(C32=$G$5,VLOOKUP(B32,$G$5:$H$9,2,1),C32=$G$11,VLOOKUP(B32,$G$11:$H$15,2,1),C32=$G$17,VLOOKUP(B32,$G$17:$H$21,2,1),C32=$G$23,VLOOKUP(B32,$G$23:$H$27,2,1))</f>
        <v>2</v>
      </c>
      <c r="E32" s="53" t="str">
        <f t="shared" si="0"/>
        <v>✓</v>
      </c>
    </row>
    <row r="33" spans="2:5" ht="15" thickBot="1" x14ac:dyDescent="0.35">
      <c r="B33" s="36">
        <v>816</v>
      </c>
      <c r="C33" s="50" t="s">
        <v>42</v>
      </c>
      <c r="D33" s="52" cm="1">
        <f t="array" ref="D33">_xlfn.IFS(C33=$G$5,VLOOKUP(B33,$G$5:$H$9,2,1),C33=$G$11,VLOOKUP(B33,$G$11:$H$15,2,1),C33=$G$17,VLOOKUP(B33,$G$17:$H$21,2,1),C33=$G$23,VLOOKUP(B33,$G$23:$H$27,2,1))</f>
        <v>2</v>
      </c>
      <c r="E33" s="53" t="str">
        <f t="shared" si="0"/>
        <v>✓</v>
      </c>
    </row>
    <row r="34" spans="2:5" ht="15" thickBot="1" x14ac:dyDescent="0.35">
      <c r="B34" s="36">
        <v>225</v>
      </c>
      <c r="C34" s="50" t="s">
        <v>42</v>
      </c>
      <c r="D34" s="52" cm="1">
        <f t="array" ref="D34">_xlfn.IFS(C34=$G$5,VLOOKUP(B34,$G$5:$H$9,2,1),C34=$G$11,VLOOKUP(B34,$G$11:$H$15,2,1),C34=$G$17,VLOOKUP(B34,$G$17:$H$21,2,1),C34=$G$23,VLOOKUP(B34,$G$23:$H$27,2,1))</f>
        <v>3</v>
      </c>
      <c r="E34" s="53" t="str">
        <f t="shared" si="0"/>
        <v>✓</v>
      </c>
    </row>
    <row r="35" spans="2:5" ht="15" thickBot="1" x14ac:dyDescent="0.35">
      <c r="B35" s="36">
        <v>1145</v>
      </c>
      <c r="C35" s="50" t="s">
        <v>42</v>
      </c>
      <c r="D35" s="52" cm="1">
        <f t="array" ref="D35">_xlfn.IFS(C35=$G$5,VLOOKUP(B35,$G$5:$H$9,2,1),C35=$G$11,VLOOKUP(B35,$G$11:$H$15,2,1),C35=$G$17,VLOOKUP(B35,$G$17:$H$21,2,1),C35=$G$23,VLOOKUP(B35,$G$23:$H$27,2,1))</f>
        <v>2</v>
      </c>
      <c r="E35" s="53" t="str">
        <f t="shared" si="0"/>
        <v>✓</v>
      </c>
    </row>
    <row r="36" spans="2:5" ht="15" thickBot="1" x14ac:dyDescent="0.35">
      <c r="B36" s="36">
        <v>16</v>
      </c>
      <c r="C36" s="50" t="s">
        <v>42</v>
      </c>
      <c r="D36" s="52" cm="1">
        <f t="array" ref="D36">_xlfn.IFS(C36=$G$5,VLOOKUP(B36,$G$5:$H$9,2,1),C36=$G$11,VLOOKUP(B36,$G$11:$H$15,2,1),C36=$G$17,VLOOKUP(B36,$G$17:$H$21,2,1),C36=$G$23,VLOOKUP(B36,$G$23:$H$27,2,1))</f>
        <v>5</v>
      </c>
      <c r="E36" s="53" t="str">
        <f t="shared" si="0"/>
        <v>✓</v>
      </c>
    </row>
    <row r="37" spans="2:5" ht="15" thickBot="1" x14ac:dyDescent="0.35">
      <c r="B37" s="36">
        <v>235</v>
      </c>
      <c r="C37" s="50" t="s">
        <v>46</v>
      </c>
      <c r="D37" s="52" cm="1">
        <f t="array" ref="D37">_xlfn.IFS(C37=$G$5,VLOOKUP(B37,$G$5:$H$9,2,1),C37=$G$11,VLOOKUP(B37,$G$11:$H$15,2,1),C37=$G$17,VLOOKUP(B37,$G$17:$H$21,2,1),C37=$G$23,VLOOKUP(B37,$G$23:$H$27,2,1))</f>
        <v>6</v>
      </c>
      <c r="E37" s="53" t="str">
        <f t="shared" si="0"/>
        <v>✓</v>
      </c>
    </row>
    <row r="38" spans="2:5" ht="15" thickBot="1" x14ac:dyDescent="0.35">
      <c r="B38" s="36">
        <v>862</v>
      </c>
      <c r="C38" s="50" t="s">
        <v>48</v>
      </c>
      <c r="D38" s="52" cm="1">
        <f t="array" ref="D38">_xlfn.IFS(C38=$G$5,VLOOKUP(B38,$G$5:$H$9,2,1),C38=$G$11,VLOOKUP(B38,$G$11:$H$15,2,1),C38=$G$17,VLOOKUP(B38,$G$17:$H$21,2,1),C38=$G$23,VLOOKUP(B38,$G$23:$H$27,2,1))</f>
        <v>1</v>
      </c>
      <c r="E38" s="53" t="str">
        <f t="shared" si="0"/>
        <v>✓</v>
      </c>
    </row>
    <row r="39" spans="2:5" ht="15" thickBot="1" x14ac:dyDescent="0.35">
      <c r="B39" s="36">
        <v>643</v>
      </c>
      <c r="C39" s="50" t="s">
        <v>47</v>
      </c>
      <c r="D39" s="52" cm="1">
        <f t="array" ref="D39">_xlfn.IFS(C39=$G$5,VLOOKUP(B39,$G$5:$H$9,2,1),C39=$G$11,VLOOKUP(B39,$G$11:$H$15,2,1),C39=$G$17,VLOOKUP(B39,$G$17:$H$21,2,1),C39=$G$23,VLOOKUP(B39,$G$23:$H$27,2,1))</f>
        <v>0.25</v>
      </c>
      <c r="E39" s="53" t="str">
        <f t="shared" si="0"/>
        <v>✓</v>
      </c>
    </row>
    <row r="40" spans="2:5" ht="15" thickBot="1" x14ac:dyDescent="0.35">
      <c r="B40" s="36">
        <v>776</v>
      </c>
      <c r="C40" s="50" t="s">
        <v>46</v>
      </c>
      <c r="D40" s="52" cm="1">
        <f t="array" ref="D40">_xlfn.IFS(C40=$G$5,VLOOKUP(B40,$G$5:$H$9,2,1),C40=$G$11,VLOOKUP(B40,$G$11:$H$15,2,1),C40=$G$17,VLOOKUP(B40,$G$17:$H$21,2,1),C40=$G$23,VLOOKUP(B40,$G$23:$H$27,2,1))</f>
        <v>4</v>
      </c>
      <c r="E40" s="53" t="str">
        <f t="shared" si="0"/>
        <v>✓</v>
      </c>
    </row>
    <row r="41" spans="2:5" ht="15" thickBot="1" x14ac:dyDescent="0.35">
      <c r="B41" s="36">
        <v>974</v>
      </c>
      <c r="C41" s="50" t="s">
        <v>48</v>
      </c>
      <c r="D41" s="52" cm="1">
        <f t="array" ref="D41">_xlfn.IFS(C41=$G$5,VLOOKUP(B41,$G$5:$H$9,2,1),C41=$G$11,VLOOKUP(B41,$G$11:$H$15,2,1),C41=$G$17,VLOOKUP(B41,$G$17:$H$21,2,1),C41=$G$23,VLOOKUP(B41,$G$23:$H$27,2,1))</f>
        <v>1</v>
      </c>
      <c r="E41" s="53" t="str">
        <f t="shared" si="0"/>
        <v>✓</v>
      </c>
    </row>
    <row r="42" spans="2:5" ht="15" thickBot="1" x14ac:dyDescent="0.35">
      <c r="B42" s="36">
        <v>663</v>
      </c>
      <c r="C42" s="50" t="s">
        <v>42</v>
      </c>
      <c r="D42" s="52" cm="1">
        <f t="array" ref="D42">_xlfn.IFS(C42=$G$5,VLOOKUP(B42,$G$5:$H$9,2,1),C42=$G$11,VLOOKUP(B42,$G$11:$H$15,2,1),C42=$G$17,VLOOKUP(B42,$G$17:$H$21,2,1),C42=$G$23,VLOOKUP(B42,$G$23:$H$27,2,1))</f>
        <v>2</v>
      </c>
      <c r="E42" s="53" t="str">
        <f t="shared" si="0"/>
        <v>✓</v>
      </c>
    </row>
    <row r="43" spans="2:5" ht="15" thickBot="1" x14ac:dyDescent="0.35">
      <c r="B43" s="36">
        <v>478</v>
      </c>
      <c r="C43" s="50" t="s">
        <v>47</v>
      </c>
      <c r="D43" s="52" cm="1">
        <f t="array" ref="D43">_xlfn.IFS(C43=$G$5,VLOOKUP(B43,$G$5:$H$9,2,1),C43=$G$11,VLOOKUP(B43,$G$11:$H$15,2,1),C43=$G$17,VLOOKUP(B43,$G$17:$H$21,2,1),C43=$G$23,VLOOKUP(B43,$G$23:$H$27,2,1))</f>
        <v>0.5</v>
      </c>
      <c r="E43" s="53" t="str">
        <f t="shared" si="0"/>
        <v>✓</v>
      </c>
    </row>
    <row r="44" spans="2:5" ht="15" thickBot="1" x14ac:dyDescent="0.35">
      <c r="B44" s="36">
        <v>756</v>
      </c>
      <c r="C44" s="50" t="s">
        <v>46</v>
      </c>
      <c r="D44" s="52" cm="1">
        <f t="array" ref="D44">_xlfn.IFS(C44=$G$5,VLOOKUP(B44,$G$5:$H$9,2,1),C44=$G$11,VLOOKUP(B44,$G$11:$H$15,2,1),C44=$G$17,VLOOKUP(B44,$G$17:$H$21,2,1),C44=$G$23,VLOOKUP(B44,$G$23:$H$27,2,1))</f>
        <v>4</v>
      </c>
      <c r="E44" s="53" t="str">
        <f t="shared" si="0"/>
        <v>✓</v>
      </c>
    </row>
    <row r="45" spans="2:5" ht="15" thickBot="1" x14ac:dyDescent="0.35">
      <c r="B45" s="36">
        <v>681</v>
      </c>
      <c r="C45" s="50" t="s">
        <v>48</v>
      </c>
      <c r="D45" s="52" cm="1">
        <f t="array" ref="D45">_xlfn.IFS(C45=$G$5,VLOOKUP(B45,$G$5:$H$9,2,1),C45=$G$11,VLOOKUP(B45,$G$11:$H$15,2,1),C45=$G$17,VLOOKUP(B45,$G$17:$H$21,2,1),C45=$G$23,VLOOKUP(B45,$G$23:$H$27,2,1))</f>
        <v>1</v>
      </c>
      <c r="E45" s="53" t="str">
        <f t="shared" si="0"/>
        <v>✓</v>
      </c>
    </row>
    <row r="46" spans="2:5" ht="15" thickBot="1" x14ac:dyDescent="0.35">
      <c r="B46" s="36">
        <v>1039</v>
      </c>
      <c r="C46" s="50" t="s">
        <v>46</v>
      </c>
      <c r="D46" s="52" cm="1">
        <f t="array" ref="D46">_xlfn.IFS(C46=$G$5,VLOOKUP(B46,$G$5:$H$9,2,1),C46=$G$11,VLOOKUP(B46,$G$11:$H$15,2,1),C46=$G$17,VLOOKUP(B46,$G$17:$H$21,2,1),C46=$G$23,VLOOKUP(B46,$G$23:$H$27,2,1))</f>
        <v>4</v>
      </c>
      <c r="E46" s="53" t="str">
        <f t="shared" si="0"/>
        <v>✓</v>
      </c>
    </row>
    <row r="47" spans="2:5" ht="15" thickBot="1" x14ac:dyDescent="0.35">
      <c r="B47" s="36">
        <v>519</v>
      </c>
      <c r="C47" s="50" t="s">
        <v>46</v>
      </c>
      <c r="D47" s="52" cm="1">
        <f t="array" ref="D47">_xlfn.IFS(C47=$G$5,VLOOKUP(B47,$G$5:$H$9,2,1),C47=$G$11,VLOOKUP(B47,$G$11:$H$15,2,1),C47=$G$17,VLOOKUP(B47,$G$17:$H$21,2,1),C47=$G$23,VLOOKUP(B47,$G$23:$H$27,2,1))</f>
        <v>4</v>
      </c>
      <c r="E47" s="53" t="str">
        <f t="shared" si="0"/>
        <v>✓</v>
      </c>
    </row>
    <row r="48" spans="2:5" ht="15" thickBot="1" x14ac:dyDescent="0.35">
      <c r="B48" s="36">
        <v>945</v>
      </c>
      <c r="C48" s="50" t="s">
        <v>48</v>
      </c>
      <c r="D48" s="52" cm="1">
        <f t="array" ref="D48">_xlfn.IFS(C48=$G$5,VLOOKUP(B48,$G$5:$H$9,2,1),C48=$G$11,VLOOKUP(B48,$G$11:$H$15,2,1),C48=$G$17,VLOOKUP(B48,$G$17:$H$21,2,1),C48=$G$23,VLOOKUP(B48,$G$23:$H$27,2,1))</f>
        <v>1</v>
      </c>
      <c r="E48" s="53" t="str">
        <f t="shared" si="0"/>
        <v>✓</v>
      </c>
    </row>
    <row r="49" spans="2:5" ht="15" thickBot="1" x14ac:dyDescent="0.35">
      <c r="B49" s="36">
        <v>255</v>
      </c>
      <c r="C49" s="50" t="s">
        <v>47</v>
      </c>
      <c r="D49" s="52" cm="1">
        <f t="array" ref="D49">_xlfn.IFS(C49=$G$5,VLOOKUP(B49,$G$5:$H$9,2,1),C49=$G$11,VLOOKUP(B49,$G$11:$H$15,2,1),C49=$G$17,VLOOKUP(B49,$G$17:$H$21,2,1),C49=$G$23,VLOOKUP(B49,$G$23:$H$27,2,1))</f>
        <v>0.5</v>
      </c>
      <c r="E49" s="53" t="str">
        <f t="shared" si="0"/>
        <v>✓</v>
      </c>
    </row>
    <row r="50" spans="2:5" ht="15" thickBot="1" x14ac:dyDescent="0.35">
      <c r="B50" s="36">
        <v>277</v>
      </c>
      <c r="C50" s="50" t="s">
        <v>47</v>
      </c>
      <c r="D50" s="52" cm="1">
        <f t="array" ref="D50">_xlfn.IFS(C50=$G$5,VLOOKUP(B50,$G$5:$H$9,2,1),C50=$G$11,VLOOKUP(B50,$G$11:$H$15,2,1),C50=$G$17,VLOOKUP(B50,$G$17:$H$21,2,1),C50=$G$23,VLOOKUP(B50,$G$23:$H$27,2,1))</f>
        <v>0.5</v>
      </c>
      <c r="E50" s="53" t="str">
        <f t="shared" si="0"/>
        <v>✓</v>
      </c>
    </row>
    <row r="51" spans="2:5" ht="15" thickBot="1" x14ac:dyDescent="0.35">
      <c r="B51" s="36">
        <v>900</v>
      </c>
      <c r="C51" s="50" t="s">
        <v>47</v>
      </c>
      <c r="D51" s="52" cm="1">
        <f t="array" ref="D51">_xlfn.IFS(C51=$G$5,VLOOKUP(B51,$G$5:$H$9,2,1),C51=$G$11,VLOOKUP(B51,$G$11:$H$15,2,1),C51=$G$17,VLOOKUP(B51,$G$17:$H$21,2,1),C51=$G$23,VLOOKUP(B51,$G$23:$H$27,2,1))</f>
        <v>0.25</v>
      </c>
      <c r="E51" s="53" t="str">
        <f t="shared" si="0"/>
        <v>✓</v>
      </c>
    </row>
    <row r="52" spans="2:5" ht="15" thickBot="1" x14ac:dyDescent="0.35">
      <c r="B52" s="36">
        <v>306</v>
      </c>
      <c r="C52" s="50" t="s">
        <v>46</v>
      </c>
      <c r="D52" s="52" cm="1">
        <f t="array" ref="D52">_xlfn.IFS(C52=$G$5,VLOOKUP(B52,$G$5:$H$9,2,1),C52=$G$11,VLOOKUP(B52,$G$11:$H$15,2,1),C52=$G$17,VLOOKUP(B52,$G$17:$H$21,2,1),C52=$G$23,VLOOKUP(B52,$G$23:$H$27,2,1))</f>
        <v>6</v>
      </c>
      <c r="E52" s="53" t="str">
        <f t="shared" si="0"/>
        <v>✓</v>
      </c>
    </row>
    <row r="53" spans="2:5" ht="15" thickBot="1" x14ac:dyDescent="0.35">
      <c r="B53" s="36">
        <v>524</v>
      </c>
      <c r="C53" s="50" t="s">
        <v>48</v>
      </c>
      <c r="D53" s="52" cm="1">
        <f t="array" ref="D53">_xlfn.IFS(C53=$G$5,VLOOKUP(B53,$G$5:$H$9,2,1),C53=$G$11,VLOOKUP(B53,$G$11:$H$15,2,1),C53=$G$17,VLOOKUP(B53,$G$17:$H$21,2,1),C53=$G$23,VLOOKUP(B53,$G$23:$H$27,2,1))</f>
        <v>1</v>
      </c>
      <c r="E53" s="53" t="str">
        <f t="shared" si="0"/>
        <v>✓</v>
      </c>
    </row>
    <row r="54" spans="2:5" ht="15" thickBot="1" x14ac:dyDescent="0.35">
      <c r="B54" s="36">
        <v>221</v>
      </c>
      <c r="C54" s="50" t="s">
        <v>48</v>
      </c>
      <c r="D54" s="52" cm="1">
        <f t="array" ref="D54">_xlfn.IFS(C54=$G$5,VLOOKUP(B54,$G$5:$H$9,2,1),C54=$G$11,VLOOKUP(B54,$G$11:$H$15,2,1),C54=$G$17,VLOOKUP(B54,$G$17:$H$21,2,1),C54=$G$23,VLOOKUP(B54,$G$23:$H$27,2,1))</f>
        <v>2</v>
      </c>
      <c r="E54" s="53" t="str">
        <f t="shared" si="0"/>
        <v>✓</v>
      </c>
    </row>
    <row r="55" spans="2:5" ht="15" thickBot="1" x14ac:dyDescent="0.35">
      <c r="B55" s="36">
        <v>599</v>
      </c>
      <c r="C55" s="50" t="s">
        <v>46</v>
      </c>
      <c r="D55" s="52" cm="1">
        <f t="array" ref="D55">_xlfn.IFS(C55=$G$5,VLOOKUP(B55,$G$5:$H$9,2,1),C55=$G$11,VLOOKUP(B55,$G$11:$H$15,2,1),C55=$G$17,VLOOKUP(B55,$G$17:$H$21,2,1),C55=$G$23,VLOOKUP(B55,$G$23:$H$27,2,1))</f>
        <v>4</v>
      </c>
      <c r="E55" s="53" t="str">
        <f t="shared" si="0"/>
        <v>✓</v>
      </c>
    </row>
    <row r="56" spans="2:5" ht="15" thickBot="1" x14ac:dyDescent="0.35">
      <c r="B56" s="36">
        <v>584</v>
      </c>
      <c r="C56" s="50" t="s">
        <v>48</v>
      </c>
      <c r="D56" s="52" cm="1">
        <f t="array" ref="D56">_xlfn.IFS(C56=$G$5,VLOOKUP(B56,$G$5:$H$9,2,1),C56=$G$11,VLOOKUP(B56,$G$11:$H$15,2,1),C56=$G$17,VLOOKUP(B56,$G$17:$H$21,2,1),C56=$G$23,VLOOKUP(B56,$G$23:$H$27,2,1))</f>
        <v>1</v>
      </c>
      <c r="E56" s="53" t="str">
        <f t="shared" si="0"/>
        <v>✓</v>
      </c>
    </row>
    <row r="57" spans="2:5" ht="15" thickBot="1" x14ac:dyDescent="0.35">
      <c r="B57" s="36">
        <v>810</v>
      </c>
      <c r="C57" s="50" t="s">
        <v>42</v>
      </c>
      <c r="D57" s="52" cm="1">
        <f t="array" ref="D57">_xlfn.IFS(C57=$G$5,VLOOKUP(B57,$G$5:$H$9,2,1),C57=$G$11,VLOOKUP(B57,$G$11:$H$15,2,1),C57=$G$17,VLOOKUP(B57,$G$17:$H$21,2,1),C57=$G$23,VLOOKUP(B57,$G$23:$H$27,2,1))</f>
        <v>2</v>
      </c>
      <c r="E57" s="53" t="str">
        <f t="shared" si="0"/>
        <v>✓</v>
      </c>
    </row>
    <row r="58" spans="2:5" ht="15" thickBot="1" x14ac:dyDescent="0.35">
      <c r="B58" s="36">
        <v>657</v>
      </c>
      <c r="C58" s="50" t="s">
        <v>47</v>
      </c>
      <c r="D58" s="52" cm="1">
        <f t="array" ref="D58">_xlfn.IFS(C58=$G$5,VLOOKUP(B58,$G$5:$H$9,2,1),C58=$G$11,VLOOKUP(B58,$G$11:$H$15,2,1),C58=$G$17,VLOOKUP(B58,$G$17:$H$21,2,1),C58=$G$23,VLOOKUP(B58,$G$23:$H$27,2,1))</f>
        <v>0.25</v>
      </c>
      <c r="E58" s="53" t="str">
        <f t="shared" si="0"/>
        <v>✓</v>
      </c>
    </row>
    <row r="59" spans="2:5" ht="15" thickBot="1" x14ac:dyDescent="0.35">
      <c r="B59" s="36">
        <v>596</v>
      </c>
      <c r="C59" s="50" t="s">
        <v>48</v>
      </c>
      <c r="D59" s="52" cm="1">
        <f t="array" ref="D59">_xlfn.IFS(C59=$G$5,VLOOKUP(B59,$G$5:$H$9,2,1),C59=$G$11,VLOOKUP(B59,$G$11:$H$15,2,1),C59=$G$17,VLOOKUP(B59,$G$17:$H$21,2,1),C59=$G$23,VLOOKUP(B59,$G$23:$H$27,2,1))</f>
        <v>1</v>
      </c>
      <c r="E59" s="53" t="str">
        <f t="shared" si="0"/>
        <v>✓</v>
      </c>
    </row>
    <row r="60" spans="2:5" ht="15" thickBot="1" x14ac:dyDescent="0.35">
      <c r="B60" s="36">
        <v>1229</v>
      </c>
      <c r="C60" s="50" t="s">
        <v>48</v>
      </c>
      <c r="D60" s="52" cm="1">
        <f t="array" ref="D60">_xlfn.IFS(C60=$G$5,VLOOKUP(B60,$G$5:$H$9,2,1),C60=$G$11,VLOOKUP(B60,$G$11:$H$15,2,1),C60=$G$17,VLOOKUP(B60,$G$17:$H$21,2,1),C60=$G$23,VLOOKUP(B60,$G$23:$H$27,2,1))</f>
        <v>1</v>
      </c>
      <c r="E60" s="53" t="str">
        <f t="shared" si="0"/>
        <v>✓</v>
      </c>
    </row>
    <row r="61" spans="2:5" ht="15" thickBot="1" x14ac:dyDescent="0.35">
      <c r="B61" s="36">
        <v>1451</v>
      </c>
      <c r="C61" s="50" t="s">
        <v>42</v>
      </c>
      <c r="D61" s="52" cm="1">
        <f t="array" ref="D61">_xlfn.IFS(C61=$G$5,VLOOKUP(B61,$G$5:$H$9,2,1),C61=$G$11,VLOOKUP(B61,$G$11:$H$15,2,1),C61=$G$17,VLOOKUP(B61,$G$17:$H$21,2,1),C61=$G$23,VLOOKUP(B61,$G$23:$H$27,2,1))</f>
        <v>2</v>
      </c>
      <c r="E61" s="53" t="str">
        <f t="shared" si="0"/>
        <v>✓</v>
      </c>
    </row>
    <row r="62" spans="2:5" ht="15" thickBot="1" x14ac:dyDescent="0.35">
      <c r="B62" s="36">
        <v>949</v>
      </c>
      <c r="C62" s="50" t="s">
        <v>46</v>
      </c>
      <c r="D62" s="52" cm="1">
        <f t="array" ref="D62">_xlfn.IFS(C62=$G$5,VLOOKUP(B62,$G$5:$H$9,2,1),C62=$G$11,VLOOKUP(B62,$G$11:$H$15,2,1),C62=$G$17,VLOOKUP(B62,$G$17:$H$21,2,1),C62=$G$23,VLOOKUP(B62,$G$23:$H$27,2,1))</f>
        <v>4</v>
      </c>
      <c r="E62" s="53" t="str">
        <f t="shared" si="0"/>
        <v>✓</v>
      </c>
    </row>
    <row r="63" spans="2:5" ht="15" thickBot="1" x14ac:dyDescent="0.35">
      <c r="B63" s="36">
        <v>1053</v>
      </c>
      <c r="C63" s="50" t="s">
        <v>46</v>
      </c>
      <c r="D63" s="52" cm="1">
        <f t="array" ref="D63">_xlfn.IFS(C63=$G$5,VLOOKUP(B63,$G$5:$H$9,2,1),C63=$G$11,VLOOKUP(B63,$G$11:$H$15,2,1),C63=$G$17,VLOOKUP(B63,$G$17:$H$21,2,1),C63=$G$23,VLOOKUP(B63,$G$23:$H$27,2,1))</f>
        <v>4</v>
      </c>
      <c r="E63" s="53" t="str">
        <f t="shared" si="0"/>
        <v>✓</v>
      </c>
    </row>
    <row r="64" spans="2:5" ht="15" thickBot="1" x14ac:dyDescent="0.35">
      <c r="B64" s="36">
        <v>1439</v>
      </c>
      <c r="C64" s="50" t="s">
        <v>42</v>
      </c>
      <c r="D64" s="52" cm="1">
        <f t="array" ref="D64">_xlfn.IFS(C64=$G$5,VLOOKUP(B64,$G$5:$H$9,2,1),C64=$G$11,VLOOKUP(B64,$G$11:$H$15,2,1),C64=$G$17,VLOOKUP(B64,$G$17:$H$21,2,1),C64=$G$23,VLOOKUP(B64,$G$23:$H$27,2,1))</f>
        <v>2</v>
      </c>
      <c r="E64" s="53" t="str">
        <f t="shared" si="0"/>
        <v>✓</v>
      </c>
    </row>
    <row r="65" spans="2:5" ht="15" thickBot="1" x14ac:dyDescent="0.35">
      <c r="B65" s="36">
        <v>507</v>
      </c>
      <c r="C65" s="50" t="s">
        <v>47</v>
      </c>
      <c r="D65" s="52" cm="1">
        <f t="array" ref="D65">_xlfn.IFS(C65=$G$5,VLOOKUP(B65,$G$5:$H$9,2,1),C65=$G$11,VLOOKUP(B65,$G$11:$H$15,2,1),C65=$G$17,VLOOKUP(B65,$G$17:$H$21,2,1),C65=$G$23,VLOOKUP(B65,$G$23:$H$27,2,1))</f>
        <v>0.25</v>
      </c>
      <c r="E65" s="53" t="str">
        <f t="shared" si="0"/>
        <v>✓</v>
      </c>
    </row>
    <row r="66" spans="2:5" ht="15" thickBot="1" x14ac:dyDescent="0.35">
      <c r="B66" s="36">
        <v>962</v>
      </c>
      <c r="C66" s="50" t="s">
        <v>47</v>
      </c>
      <c r="D66" s="52" cm="1">
        <f t="array" ref="D66">_xlfn.IFS(C66=$G$5,VLOOKUP(B66,$G$5:$H$9,2,1),C66=$G$11,VLOOKUP(B66,$G$11:$H$15,2,1),C66=$G$17,VLOOKUP(B66,$G$17:$H$21,2,1),C66=$G$23,VLOOKUP(B66,$G$23:$H$27,2,1))</f>
        <v>0.25</v>
      </c>
      <c r="E66" s="53" t="str">
        <f t="shared" si="0"/>
        <v>✓</v>
      </c>
    </row>
    <row r="67" spans="2:5" ht="15" thickBot="1" x14ac:dyDescent="0.35">
      <c r="B67" s="36">
        <v>508</v>
      </c>
      <c r="C67" s="50" t="s">
        <v>46</v>
      </c>
      <c r="D67" s="52" cm="1">
        <f t="array" ref="D67">_xlfn.IFS(C67=$G$5,VLOOKUP(B67,$G$5:$H$9,2,1),C67=$G$11,VLOOKUP(B67,$G$11:$H$15,2,1),C67=$G$17,VLOOKUP(B67,$G$17:$H$21,2,1),C67=$G$23,VLOOKUP(B67,$G$23:$H$27,2,1))</f>
        <v>4</v>
      </c>
      <c r="E67" s="53" t="str">
        <f t="shared" si="0"/>
        <v>✓</v>
      </c>
    </row>
    <row r="68" spans="2:5" ht="15" thickBot="1" x14ac:dyDescent="0.35">
      <c r="B68" s="36">
        <v>751</v>
      </c>
      <c r="C68" s="50" t="s">
        <v>42</v>
      </c>
      <c r="D68" s="52" cm="1">
        <f t="array" ref="D68">_xlfn.IFS(C68=$G$5,VLOOKUP(B68,$G$5:$H$9,2,1),C68=$G$11,VLOOKUP(B68,$G$11:$H$15,2,1),C68=$G$17,VLOOKUP(B68,$G$17:$H$21,2,1),C68=$G$23,VLOOKUP(B68,$G$23:$H$27,2,1))</f>
        <v>2</v>
      </c>
      <c r="E68" s="53" t="str">
        <f t="shared" si="0"/>
        <v>✓</v>
      </c>
    </row>
    <row r="69" spans="2:5" ht="15" thickBot="1" x14ac:dyDescent="0.35">
      <c r="B69" s="36">
        <v>414</v>
      </c>
      <c r="C69" s="50" t="s">
        <v>46</v>
      </c>
      <c r="D69" s="52" cm="1">
        <f t="array" ref="D69">_xlfn.IFS(C69=$G$5,VLOOKUP(B69,$G$5:$H$9,2,1),C69=$G$11,VLOOKUP(B69,$G$11:$H$15,2,1),C69=$G$17,VLOOKUP(B69,$G$17:$H$21,2,1),C69=$G$23,VLOOKUP(B69,$G$23:$H$27,2,1))</f>
        <v>6</v>
      </c>
      <c r="E69" s="53" t="str">
        <f t="shared" si="0"/>
        <v>✓</v>
      </c>
    </row>
    <row r="70" spans="2:5" ht="15" thickBot="1" x14ac:dyDescent="0.35">
      <c r="B70" s="36">
        <v>1165</v>
      </c>
      <c r="C70" s="50" t="s">
        <v>48</v>
      </c>
      <c r="D70" s="52" cm="1">
        <f t="array" ref="D70">_xlfn.IFS(C70=$G$5,VLOOKUP(B70,$G$5:$H$9,2,1),C70=$G$11,VLOOKUP(B70,$G$11:$H$15,2,1),C70=$G$17,VLOOKUP(B70,$G$17:$H$21,2,1),C70=$G$23,VLOOKUP(B70,$G$23:$H$27,2,1))</f>
        <v>1</v>
      </c>
      <c r="E70" s="53" t="str">
        <f t="shared" si="0"/>
        <v>✓</v>
      </c>
    </row>
    <row r="71" spans="2:5" ht="15" thickBot="1" x14ac:dyDescent="0.35">
      <c r="B71" s="36">
        <v>1110</v>
      </c>
      <c r="C71" s="50" t="s">
        <v>47</v>
      </c>
      <c r="D71" s="52" cm="1">
        <f t="array" ref="D71">_xlfn.IFS(C71=$G$5,VLOOKUP(B71,$G$5:$H$9,2,1),C71=$G$11,VLOOKUP(B71,$G$11:$H$15,2,1),C71=$G$17,VLOOKUP(B71,$G$17:$H$21,2,1),C71=$G$23,VLOOKUP(B71,$G$23:$H$27,2,1))</f>
        <v>0.25</v>
      </c>
      <c r="E71" s="53" t="str">
        <f t="shared" si="0"/>
        <v>✓</v>
      </c>
    </row>
    <row r="72" spans="2:5" ht="15" thickBot="1" x14ac:dyDescent="0.35">
      <c r="B72" s="36">
        <v>1246</v>
      </c>
      <c r="C72" s="50" t="s">
        <v>47</v>
      </c>
      <c r="D72" s="52" cm="1">
        <f t="array" ref="D72">_xlfn.IFS(C72=$G$5,VLOOKUP(B72,$G$5:$H$9,2,1),C72=$G$11,VLOOKUP(B72,$G$11:$H$15,2,1),C72=$G$17,VLOOKUP(B72,$G$17:$H$21,2,1),C72=$G$23,VLOOKUP(B72,$G$23:$H$27,2,1))</f>
        <v>0.25</v>
      </c>
      <c r="E72" s="53" t="str">
        <f t="shared" si="0"/>
        <v>✓</v>
      </c>
    </row>
    <row r="73" spans="2:5" ht="15" thickBot="1" x14ac:dyDescent="0.35">
      <c r="B73" s="36">
        <v>1030</v>
      </c>
      <c r="C73" s="50" t="s">
        <v>42</v>
      </c>
      <c r="D73" s="52" cm="1">
        <f t="array" ref="D73">_xlfn.IFS(C73=$G$5,VLOOKUP(B73,$G$5:$H$9,2,1),C73=$G$11,VLOOKUP(B73,$G$11:$H$15,2,1),C73=$G$17,VLOOKUP(B73,$G$17:$H$21,2,1),C73=$G$23,VLOOKUP(B73,$G$23:$H$27,2,1))</f>
        <v>2</v>
      </c>
      <c r="E73" s="53" t="str">
        <f t="shared" si="0"/>
        <v>✓</v>
      </c>
    </row>
    <row r="74" spans="2:5" ht="15" thickBot="1" x14ac:dyDescent="0.35">
      <c r="B74" s="36">
        <v>932</v>
      </c>
      <c r="C74" s="50" t="s">
        <v>42</v>
      </c>
      <c r="D74" s="52" cm="1">
        <f t="array" ref="D74">_xlfn.IFS(C74=$G$5,VLOOKUP(B74,$G$5:$H$9,2,1),C74=$G$11,VLOOKUP(B74,$G$11:$H$15,2,1),C74=$G$17,VLOOKUP(B74,$G$17:$H$21,2,1),C74=$G$23,VLOOKUP(B74,$G$23:$H$27,2,1))</f>
        <v>2</v>
      </c>
      <c r="E74" s="53" t="str">
        <f t="shared" si="0"/>
        <v>✓</v>
      </c>
    </row>
    <row r="75" spans="2:5" ht="15" thickBot="1" x14ac:dyDescent="0.35">
      <c r="B75" s="36">
        <v>473</v>
      </c>
      <c r="C75" s="50" t="s">
        <v>48</v>
      </c>
      <c r="D75" s="52" cm="1">
        <f t="array" ref="D75">_xlfn.IFS(C75=$G$5,VLOOKUP(B75,$G$5:$H$9,2,1),C75=$G$11,VLOOKUP(B75,$G$11:$H$15,2,1),C75=$G$17,VLOOKUP(B75,$G$17:$H$21,2,1),C75=$G$23,VLOOKUP(B75,$G$23:$H$27,2,1))</f>
        <v>2</v>
      </c>
      <c r="E75" s="53" t="str">
        <f t="shared" si="0"/>
        <v>✓</v>
      </c>
    </row>
    <row r="76" spans="2:5" ht="15" thickBot="1" x14ac:dyDescent="0.35">
      <c r="B76" s="36">
        <v>1216</v>
      </c>
      <c r="C76" s="50" t="s">
        <v>47</v>
      </c>
      <c r="D76" s="52" cm="1">
        <f t="array" ref="D76">_xlfn.IFS(C76=$G$5,VLOOKUP(B76,$G$5:$H$9,2,1),C76=$G$11,VLOOKUP(B76,$G$11:$H$15,2,1),C76=$G$17,VLOOKUP(B76,$G$17:$H$21,2,1),C76=$G$23,VLOOKUP(B76,$G$23:$H$27,2,1))</f>
        <v>0.25</v>
      </c>
      <c r="E76" s="53" t="str">
        <f t="shared" si="0"/>
        <v>✓</v>
      </c>
    </row>
    <row r="77" spans="2:5" ht="15" thickBot="1" x14ac:dyDescent="0.35">
      <c r="B77" s="36">
        <v>1322</v>
      </c>
      <c r="C77" s="50" t="s">
        <v>48</v>
      </c>
      <c r="D77" s="52" cm="1">
        <f t="array" ref="D77">_xlfn.IFS(C77=$G$5,VLOOKUP(B77,$G$5:$H$9,2,1),C77=$G$11,VLOOKUP(B77,$G$11:$H$15,2,1),C77=$G$17,VLOOKUP(B77,$G$17:$H$21,2,1),C77=$G$23,VLOOKUP(B77,$G$23:$H$27,2,1))</f>
        <v>1</v>
      </c>
      <c r="E77" s="53" t="str">
        <f t="shared" si="0"/>
        <v>✓</v>
      </c>
    </row>
    <row r="78" spans="2:5" ht="15" thickBot="1" x14ac:dyDescent="0.35">
      <c r="B78" s="36">
        <v>1251</v>
      </c>
      <c r="C78" s="50" t="s">
        <v>48</v>
      </c>
      <c r="D78" s="52" cm="1">
        <f t="array" ref="D78">_xlfn.IFS(C78=$G$5,VLOOKUP(B78,$G$5:$H$9,2,1),C78=$G$11,VLOOKUP(B78,$G$11:$H$15,2,1),C78=$G$17,VLOOKUP(B78,$G$17:$H$21,2,1),C78=$G$23,VLOOKUP(B78,$G$23:$H$27,2,1))</f>
        <v>1</v>
      </c>
      <c r="E78" s="53" t="str">
        <f t="shared" ref="E78:E121" si="1">+IF(D78="","",IF(D78=+IF(C78=$G$5,VLOOKUP(B78,$G$6:$H$9,2,1),IF(C78=$G$11,VLOOKUP(B78,$G$12:$H$15,2,1),IF(C78=$G$17,VLOOKUP(B78,$G$18:$H$21,2,1),VLOOKUP(B78,$G$24:$H$27,2,1)))),"✓","✘"))</f>
        <v>✓</v>
      </c>
    </row>
    <row r="79" spans="2:5" ht="15" thickBot="1" x14ac:dyDescent="0.35">
      <c r="B79" s="36">
        <v>802</v>
      </c>
      <c r="C79" s="50" t="s">
        <v>46</v>
      </c>
      <c r="D79" s="52" cm="1">
        <f t="array" ref="D79">_xlfn.IFS(C79=$G$5,VLOOKUP(B79,$G$5:$H$9,2,1),C79=$G$11,VLOOKUP(B79,$G$11:$H$15,2,1),C79=$G$17,VLOOKUP(B79,$G$17:$H$21,2,1),C79=$G$23,VLOOKUP(B79,$G$23:$H$27,2,1))</f>
        <v>4</v>
      </c>
      <c r="E79" s="53" t="str">
        <f t="shared" si="1"/>
        <v>✓</v>
      </c>
    </row>
    <row r="80" spans="2:5" ht="15" thickBot="1" x14ac:dyDescent="0.35">
      <c r="B80" s="36">
        <v>738</v>
      </c>
      <c r="C80" s="50" t="s">
        <v>42</v>
      </c>
      <c r="D80" s="52" cm="1">
        <f t="array" ref="D80">_xlfn.IFS(C80=$G$5,VLOOKUP(B80,$G$5:$H$9,2,1),C80=$G$11,VLOOKUP(B80,$G$11:$H$15,2,1),C80=$G$17,VLOOKUP(B80,$G$17:$H$21,2,1),C80=$G$23,VLOOKUP(B80,$G$23:$H$27,2,1))</f>
        <v>2</v>
      </c>
      <c r="E80" s="53" t="str">
        <f t="shared" si="1"/>
        <v>✓</v>
      </c>
    </row>
    <row r="81" spans="2:5" ht="15" thickBot="1" x14ac:dyDescent="0.35">
      <c r="B81" s="36">
        <v>543</v>
      </c>
      <c r="C81" s="50" t="s">
        <v>47</v>
      </c>
      <c r="D81" s="52" cm="1">
        <f t="array" ref="D81">_xlfn.IFS(C81=$G$5,VLOOKUP(B81,$G$5:$H$9,2,1),C81=$G$11,VLOOKUP(B81,$G$11:$H$15,2,1),C81=$G$17,VLOOKUP(B81,$G$17:$H$21,2,1),C81=$G$23,VLOOKUP(B81,$G$23:$H$27,2,1))</f>
        <v>0.25</v>
      </c>
      <c r="E81" s="53" t="str">
        <f t="shared" si="1"/>
        <v>✓</v>
      </c>
    </row>
    <row r="82" spans="2:5" ht="15" thickBot="1" x14ac:dyDescent="0.35">
      <c r="B82" s="36">
        <v>1009</v>
      </c>
      <c r="C82" s="50" t="s">
        <v>42</v>
      </c>
      <c r="D82" s="52" cm="1">
        <f t="array" ref="D82">_xlfn.IFS(C82=$G$5,VLOOKUP(B82,$G$5:$H$9,2,1),C82=$G$11,VLOOKUP(B82,$G$11:$H$15,2,1),C82=$G$17,VLOOKUP(B82,$G$17:$H$21,2,1),C82=$G$23,VLOOKUP(B82,$G$23:$H$27,2,1))</f>
        <v>2</v>
      </c>
      <c r="E82" s="53" t="str">
        <f t="shared" si="1"/>
        <v>✓</v>
      </c>
    </row>
    <row r="83" spans="2:5" ht="15" thickBot="1" x14ac:dyDescent="0.35">
      <c r="B83" s="36">
        <v>1125</v>
      </c>
      <c r="C83" s="50" t="s">
        <v>47</v>
      </c>
      <c r="D83" s="52" cm="1">
        <f t="array" ref="D83">_xlfn.IFS(C83=$G$5,VLOOKUP(B83,$G$5:$H$9,2,1),C83=$G$11,VLOOKUP(B83,$G$11:$H$15,2,1),C83=$G$17,VLOOKUP(B83,$G$17:$H$21,2,1),C83=$G$23,VLOOKUP(B83,$G$23:$H$27,2,1))</f>
        <v>0.25</v>
      </c>
      <c r="E83" s="53" t="str">
        <f t="shared" si="1"/>
        <v>✓</v>
      </c>
    </row>
    <row r="84" spans="2:5" ht="15" thickBot="1" x14ac:dyDescent="0.35">
      <c r="B84" s="36">
        <v>1500</v>
      </c>
      <c r="C84" s="50" t="s">
        <v>47</v>
      </c>
      <c r="D84" s="52" cm="1">
        <f t="array" ref="D84">_xlfn.IFS(C84=$G$5,VLOOKUP(B84,$G$5:$H$9,2,1),C84=$G$11,VLOOKUP(B84,$G$11:$H$15,2,1),C84=$G$17,VLOOKUP(B84,$G$17:$H$21,2,1),C84=$G$23,VLOOKUP(B84,$G$23:$H$27,2,1))</f>
        <v>0.25</v>
      </c>
      <c r="E84" s="53" t="str">
        <f t="shared" si="1"/>
        <v>✓</v>
      </c>
    </row>
    <row r="85" spans="2:5" ht="15" thickBot="1" x14ac:dyDescent="0.35">
      <c r="B85" s="36">
        <v>717</v>
      </c>
      <c r="C85" s="50" t="s">
        <v>47</v>
      </c>
      <c r="D85" s="52" cm="1">
        <f t="array" ref="D85">_xlfn.IFS(C85=$G$5,VLOOKUP(B85,$G$5:$H$9,2,1),C85=$G$11,VLOOKUP(B85,$G$11:$H$15,2,1),C85=$G$17,VLOOKUP(B85,$G$17:$H$21,2,1),C85=$G$23,VLOOKUP(B85,$G$23:$H$27,2,1))</f>
        <v>0.25</v>
      </c>
      <c r="E85" s="53" t="str">
        <f t="shared" si="1"/>
        <v>✓</v>
      </c>
    </row>
    <row r="86" spans="2:5" ht="15" thickBot="1" x14ac:dyDescent="0.35">
      <c r="B86" s="36">
        <v>386</v>
      </c>
      <c r="C86" s="50" t="s">
        <v>47</v>
      </c>
      <c r="D86" s="52" cm="1">
        <f t="array" ref="D86">_xlfn.IFS(C86=$G$5,VLOOKUP(B86,$G$5:$H$9,2,1),C86=$G$11,VLOOKUP(B86,$G$11:$H$15,2,1),C86=$G$17,VLOOKUP(B86,$G$17:$H$21,2,1),C86=$G$23,VLOOKUP(B86,$G$23:$H$27,2,1))</f>
        <v>0.5</v>
      </c>
      <c r="E86" s="53" t="str">
        <f t="shared" si="1"/>
        <v>✓</v>
      </c>
    </row>
    <row r="87" spans="2:5" ht="15" thickBot="1" x14ac:dyDescent="0.35">
      <c r="B87" s="36">
        <v>367</v>
      </c>
      <c r="C87" s="50" t="s">
        <v>42</v>
      </c>
      <c r="D87" s="52" cm="1">
        <f t="array" ref="D87">_xlfn.IFS(C87=$G$5,VLOOKUP(B87,$G$5:$H$9,2,1),C87=$G$11,VLOOKUP(B87,$G$11:$H$15,2,1),C87=$G$17,VLOOKUP(B87,$G$17:$H$21,2,1),C87=$G$23,VLOOKUP(B87,$G$23:$H$27,2,1))</f>
        <v>3</v>
      </c>
      <c r="E87" s="53" t="str">
        <f t="shared" si="1"/>
        <v>✓</v>
      </c>
    </row>
    <row r="88" spans="2:5" ht="15" thickBot="1" x14ac:dyDescent="0.35">
      <c r="B88" s="36">
        <v>120</v>
      </c>
      <c r="C88" s="50" t="s">
        <v>46</v>
      </c>
      <c r="D88" s="52" cm="1">
        <f t="array" ref="D88">_xlfn.IFS(C88=$G$5,VLOOKUP(B88,$G$5:$H$9,2,1),C88=$G$11,VLOOKUP(B88,$G$11:$H$15,2,1),C88=$G$17,VLOOKUP(B88,$G$17:$H$21,2,1),C88=$G$23,VLOOKUP(B88,$G$23:$H$27,2,1))</f>
        <v>7</v>
      </c>
      <c r="E88" s="53" t="str">
        <f t="shared" si="1"/>
        <v>✓</v>
      </c>
    </row>
    <row r="89" spans="2:5" ht="15" thickBot="1" x14ac:dyDescent="0.35">
      <c r="B89" s="36">
        <v>367</v>
      </c>
      <c r="C89" s="50" t="s">
        <v>42</v>
      </c>
      <c r="D89" s="52" cm="1">
        <f t="array" ref="D89">_xlfn.IFS(C89=$G$5,VLOOKUP(B89,$G$5:$H$9,2,1),C89=$G$11,VLOOKUP(B89,$G$11:$H$15,2,1),C89=$G$17,VLOOKUP(B89,$G$17:$H$21,2,1),C89=$G$23,VLOOKUP(B89,$G$23:$H$27,2,1))</f>
        <v>3</v>
      </c>
      <c r="E89" s="53" t="str">
        <f t="shared" si="1"/>
        <v>✓</v>
      </c>
    </row>
    <row r="90" spans="2:5" ht="15" thickBot="1" x14ac:dyDescent="0.35">
      <c r="B90" s="36">
        <v>767</v>
      </c>
      <c r="C90" s="50" t="s">
        <v>47</v>
      </c>
      <c r="D90" s="52" cm="1">
        <f t="array" ref="D90">_xlfn.IFS(C90=$G$5,VLOOKUP(B90,$G$5:$H$9,2,1),C90=$G$11,VLOOKUP(B90,$G$11:$H$15,2,1),C90=$G$17,VLOOKUP(B90,$G$17:$H$21,2,1),C90=$G$23,VLOOKUP(B90,$G$23:$H$27,2,1))</f>
        <v>0.25</v>
      </c>
      <c r="E90" s="53" t="str">
        <f t="shared" si="1"/>
        <v>✓</v>
      </c>
    </row>
    <row r="91" spans="2:5" ht="15" thickBot="1" x14ac:dyDescent="0.35">
      <c r="B91" s="36">
        <v>1168</v>
      </c>
      <c r="C91" s="50" t="s">
        <v>47</v>
      </c>
      <c r="D91" s="52" cm="1">
        <f t="array" ref="D91">_xlfn.IFS(C91=$G$5,VLOOKUP(B91,$G$5:$H$9,2,1),C91=$G$11,VLOOKUP(B91,$G$11:$H$15,2,1),C91=$G$17,VLOOKUP(B91,$G$17:$H$21,2,1),C91=$G$23,VLOOKUP(B91,$G$23:$H$27,2,1))</f>
        <v>0.25</v>
      </c>
      <c r="E91" s="53" t="str">
        <f t="shared" si="1"/>
        <v>✓</v>
      </c>
    </row>
    <row r="92" spans="2:5" ht="15" thickBot="1" x14ac:dyDescent="0.35">
      <c r="B92" s="36">
        <v>683</v>
      </c>
      <c r="C92" s="50" t="s">
        <v>47</v>
      </c>
      <c r="D92" s="52" cm="1">
        <f t="array" ref="D92">_xlfn.IFS(C92=$G$5,VLOOKUP(B92,$G$5:$H$9,2,1),C92=$G$11,VLOOKUP(B92,$G$11:$H$15,2,1),C92=$G$17,VLOOKUP(B92,$G$17:$H$21,2,1),C92=$G$23,VLOOKUP(B92,$G$23:$H$27,2,1))</f>
        <v>0.25</v>
      </c>
      <c r="E92" s="53" t="str">
        <f t="shared" si="1"/>
        <v>✓</v>
      </c>
    </row>
    <row r="93" spans="2:5" ht="15" thickBot="1" x14ac:dyDescent="0.35">
      <c r="B93" s="36">
        <v>1358</v>
      </c>
      <c r="C93" s="50" t="s">
        <v>42</v>
      </c>
      <c r="D93" s="52" cm="1">
        <f t="array" ref="D93">_xlfn.IFS(C93=$G$5,VLOOKUP(B93,$G$5:$H$9,2,1),C93=$G$11,VLOOKUP(B93,$G$11:$H$15,2,1),C93=$G$17,VLOOKUP(B93,$G$17:$H$21,2,1),C93=$G$23,VLOOKUP(B93,$G$23:$H$27,2,1))</f>
        <v>2</v>
      </c>
      <c r="E93" s="53" t="str">
        <f t="shared" si="1"/>
        <v>✓</v>
      </c>
    </row>
    <row r="94" spans="2:5" ht="15" thickBot="1" x14ac:dyDescent="0.35">
      <c r="B94" s="36">
        <v>760</v>
      </c>
      <c r="C94" s="50" t="s">
        <v>47</v>
      </c>
      <c r="D94" s="52" cm="1">
        <f t="array" ref="D94">_xlfn.IFS(C94=$G$5,VLOOKUP(B94,$G$5:$H$9,2,1),C94=$G$11,VLOOKUP(B94,$G$11:$H$15,2,1),C94=$G$17,VLOOKUP(B94,$G$17:$H$21,2,1),C94=$G$23,VLOOKUP(B94,$G$23:$H$27,2,1))</f>
        <v>0.25</v>
      </c>
      <c r="E94" s="53" t="str">
        <f t="shared" si="1"/>
        <v>✓</v>
      </c>
    </row>
    <row r="95" spans="2:5" ht="15" thickBot="1" x14ac:dyDescent="0.35">
      <c r="B95" s="36">
        <v>681</v>
      </c>
      <c r="C95" s="50" t="s">
        <v>42</v>
      </c>
      <c r="D95" s="52" cm="1">
        <f t="array" ref="D95">_xlfn.IFS(C95=$G$5,VLOOKUP(B95,$G$5:$H$9,2,1),C95=$G$11,VLOOKUP(B95,$G$11:$H$15,2,1),C95=$G$17,VLOOKUP(B95,$G$17:$H$21,2,1),C95=$G$23,VLOOKUP(B95,$G$23:$H$27,2,1))</f>
        <v>2</v>
      </c>
      <c r="E95" s="53" t="str">
        <f t="shared" si="1"/>
        <v>✓</v>
      </c>
    </row>
    <row r="96" spans="2:5" ht="15" thickBot="1" x14ac:dyDescent="0.35">
      <c r="B96" s="36">
        <v>37</v>
      </c>
      <c r="C96" s="50" t="s">
        <v>47</v>
      </c>
      <c r="D96" s="52" cm="1">
        <f t="array" ref="D96">_xlfn.IFS(C96=$G$5,VLOOKUP(B96,$G$5:$H$9,2,1),C96=$G$11,VLOOKUP(B96,$G$11:$H$15,2,1),C96=$G$17,VLOOKUP(B96,$G$17:$H$21,2,1),C96=$G$23,VLOOKUP(B96,$G$23:$H$27,2,1))</f>
        <v>1</v>
      </c>
      <c r="E96" s="53" t="str">
        <f t="shared" si="1"/>
        <v>✓</v>
      </c>
    </row>
    <row r="97" spans="2:5" ht="15" thickBot="1" x14ac:dyDescent="0.35">
      <c r="B97" s="36">
        <v>572</v>
      </c>
      <c r="C97" s="50" t="s">
        <v>46</v>
      </c>
      <c r="D97" s="52" cm="1">
        <f t="array" ref="D97">_xlfn.IFS(C97=$G$5,VLOOKUP(B97,$G$5:$H$9,2,1),C97=$G$11,VLOOKUP(B97,$G$11:$H$15,2,1),C97=$G$17,VLOOKUP(B97,$G$17:$H$21,2,1),C97=$G$23,VLOOKUP(B97,$G$23:$H$27,2,1))</f>
        <v>4</v>
      </c>
      <c r="E97" s="53" t="str">
        <f t="shared" si="1"/>
        <v>✓</v>
      </c>
    </row>
    <row r="98" spans="2:5" ht="15" thickBot="1" x14ac:dyDescent="0.35">
      <c r="B98" s="36">
        <v>1434</v>
      </c>
      <c r="C98" s="50" t="s">
        <v>46</v>
      </c>
      <c r="D98" s="52" cm="1">
        <f t="array" ref="D98">_xlfn.IFS(C98=$G$5,VLOOKUP(B98,$G$5:$H$9,2,1),C98=$G$11,VLOOKUP(B98,$G$11:$H$15,2,1),C98=$G$17,VLOOKUP(B98,$G$17:$H$21,2,1),C98=$G$23,VLOOKUP(B98,$G$23:$H$27,2,1))</f>
        <v>4</v>
      </c>
      <c r="E98" s="53" t="str">
        <f t="shared" si="1"/>
        <v>✓</v>
      </c>
    </row>
    <row r="99" spans="2:5" ht="15" thickBot="1" x14ac:dyDescent="0.35">
      <c r="B99" s="36">
        <v>1491</v>
      </c>
      <c r="C99" s="50" t="s">
        <v>46</v>
      </c>
      <c r="D99" s="52" cm="1">
        <f t="array" ref="D99">_xlfn.IFS(C99=$G$5,VLOOKUP(B99,$G$5:$H$9,2,1),C99=$G$11,VLOOKUP(B99,$G$11:$H$15,2,1),C99=$G$17,VLOOKUP(B99,$G$17:$H$21,2,1),C99=$G$23,VLOOKUP(B99,$G$23:$H$27,2,1))</f>
        <v>4</v>
      </c>
      <c r="E99" s="53" t="str">
        <f t="shared" si="1"/>
        <v>✓</v>
      </c>
    </row>
    <row r="100" spans="2:5" ht="15" thickBot="1" x14ac:dyDescent="0.35">
      <c r="B100" s="36">
        <v>511</v>
      </c>
      <c r="C100" s="50" t="s">
        <v>42</v>
      </c>
      <c r="D100" s="52" cm="1">
        <f t="array" ref="D100">_xlfn.IFS(C100=$G$5,VLOOKUP(B100,$G$5:$H$9,2,1),C100=$G$11,VLOOKUP(B100,$G$11:$H$15,2,1),C100=$G$17,VLOOKUP(B100,$G$17:$H$21,2,1),C100=$G$23,VLOOKUP(B100,$G$23:$H$27,2,1))</f>
        <v>2</v>
      </c>
      <c r="E100" s="53" t="str">
        <f t="shared" si="1"/>
        <v>✓</v>
      </c>
    </row>
    <row r="101" spans="2:5" ht="15" thickBot="1" x14ac:dyDescent="0.35">
      <c r="B101" s="36">
        <v>329</v>
      </c>
      <c r="C101" s="50" t="s">
        <v>48</v>
      </c>
      <c r="D101" s="52" cm="1">
        <f t="array" ref="D101">_xlfn.IFS(C101=$G$5,VLOOKUP(B101,$G$5:$H$9,2,1),C101=$G$11,VLOOKUP(B101,$G$11:$H$15,2,1),C101=$G$17,VLOOKUP(B101,$G$17:$H$21,2,1),C101=$G$23,VLOOKUP(B101,$G$23:$H$27,2,1))</f>
        <v>2</v>
      </c>
      <c r="E101" s="53" t="str">
        <f t="shared" si="1"/>
        <v>✓</v>
      </c>
    </row>
    <row r="102" spans="2:5" ht="15" thickBot="1" x14ac:dyDescent="0.35">
      <c r="B102" s="36">
        <v>1147</v>
      </c>
      <c r="C102" s="50" t="s">
        <v>42</v>
      </c>
      <c r="D102" s="52" cm="1">
        <f t="array" ref="D102">_xlfn.IFS(C102=$G$5,VLOOKUP(B102,$G$5:$H$9,2,1),C102=$G$11,VLOOKUP(B102,$G$11:$H$15,2,1),C102=$G$17,VLOOKUP(B102,$G$17:$H$21,2,1),C102=$G$23,VLOOKUP(B102,$G$23:$H$27,2,1))</f>
        <v>2</v>
      </c>
      <c r="E102" s="53" t="str">
        <f t="shared" si="1"/>
        <v>✓</v>
      </c>
    </row>
    <row r="103" spans="2:5" ht="15" thickBot="1" x14ac:dyDescent="0.35">
      <c r="B103" s="36">
        <v>53</v>
      </c>
      <c r="C103" s="50" t="s">
        <v>42</v>
      </c>
      <c r="D103" s="52" cm="1">
        <f t="array" ref="D103">_xlfn.IFS(C103=$G$5,VLOOKUP(B103,$G$5:$H$9,2,1),C103=$G$11,VLOOKUP(B103,$G$11:$H$15,2,1),C103=$G$17,VLOOKUP(B103,$G$17:$H$21,2,1),C103=$G$23,VLOOKUP(B103,$G$23:$H$27,2,1))</f>
        <v>5</v>
      </c>
      <c r="E103" s="53" t="str">
        <f t="shared" si="1"/>
        <v>✓</v>
      </c>
    </row>
    <row r="104" spans="2:5" ht="15" thickBot="1" x14ac:dyDescent="0.35">
      <c r="B104" s="36">
        <v>1232</v>
      </c>
      <c r="C104" s="50" t="s">
        <v>46</v>
      </c>
      <c r="D104" s="52" cm="1">
        <f t="array" ref="D104">_xlfn.IFS(C104=$G$5,VLOOKUP(B104,$G$5:$H$9,2,1),C104=$G$11,VLOOKUP(B104,$G$11:$H$15,2,1),C104=$G$17,VLOOKUP(B104,$G$17:$H$21,2,1),C104=$G$23,VLOOKUP(B104,$G$23:$H$27,2,1))</f>
        <v>4</v>
      </c>
      <c r="E104" s="53" t="str">
        <f t="shared" si="1"/>
        <v>✓</v>
      </c>
    </row>
    <row r="105" spans="2:5" ht="15" thickBot="1" x14ac:dyDescent="0.35">
      <c r="B105" s="36">
        <v>524</v>
      </c>
      <c r="C105" s="50" t="s">
        <v>47</v>
      </c>
      <c r="D105" s="52" cm="1">
        <f t="array" ref="D105">_xlfn.IFS(C105=$G$5,VLOOKUP(B105,$G$5:$H$9,2,1),C105=$G$11,VLOOKUP(B105,$G$11:$H$15,2,1),C105=$G$17,VLOOKUP(B105,$G$17:$H$21,2,1),C105=$G$23,VLOOKUP(B105,$G$23:$H$27,2,1))</f>
        <v>0.25</v>
      </c>
      <c r="E105" s="53" t="str">
        <f t="shared" si="1"/>
        <v>✓</v>
      </c>
    </row>
    <row r="106" spans="2:5" ht="15" thickBot="1" x14ac:dyDescent="0.35">
      <c r="B106" s="36">
        <v>314</v>
      </c>
      <c r="C106" s="50" t="s">
        <v>42</v>
      </c>
      <c r="D106" s="52" cm="1">
        <f t="array" ref="D106">_xlfn.IFS(C106=$G$5,VLOOKUP(B106,$G$5:$H$9,2,1),C106=$G$11,VLOOKUP(B106,$G$11:$H$15,2,1),C106=$G$17,VLOOKUP(B106,$G$17:$H$21,2,1),C106=$G$23,VLOOKUP(B106,$G$23:$H$27,2,1))</f>
        <v>3</v>
      </c>
      <c r="E106" s="53" t="str">
        <f t="shared" si="1"/>
        <v>✓</v>
      </c>
    </row>
    <row r="107" spans="2:5" ht="15" thickBot="1" x14ac:dyDescent="0.35">
      <c r="B107" s="36">
        <v>1376</v>
      </c>
      <c r="C107" s="50" t="s">
        <v>47</v>
      </c>
      <c r="D107" s="52" cm="1">
        <f t="array" ref="D107">_xlfn.IFS(C107=$G$5,VLOOKUP(B107,$G$5:$H$9,2,1),C107=$G$11,VLOOKUP(B107,$G$11:$H$15,2,1),C107=$G$17,VLOOKUP(B107,$G$17:$H$21,2,1),C107=$G$23,VLOOKUP(B107,$G$23:$H$27,2,1))</f>
        <v>0.25</v>
      </c>
      <c r="E107" s="53" t="str">
        <f t="shared" si="1"/>
        <v>✓</v>
      </c>
    </row>
    <row r="108" spans="2:5" ht="15" thickBot="1" x14ac:dyDescent="0.35">
      <c r="B108" s="36">
        <v>134</v>
      </c>
      <c r="C108" s="50" t="s">
        <v>48</v>
      </c>
      <c r="D108" s="52" cm="1">
        <f t="array" ref="D108">_xlfn.IFS(C108=$G$5,VLOOKUP(B108,$G$5:$H$9,2,1),C108=$G$11,VLOOKUP(B108,$G$11:$H$15,2,1),C108=$G$17,VLOOKUP(B108,$G$17:$H$21,2,1),C108=$G$23,VLOOKUP(B108,$G$23:$H$27,2,1))</f>
        <v>2.5</v>
      </c>
      <c r="E108" s="53" t="str">
        <f t="shared" si="1"/>
        <v>✓</v>
      </c>
    </row>
    <row r="109" spans="2:5" ht="15" thickBot="1" x14ac:dyDescent="0.35">
      <c r="B109" s="36">
        <v>1184</v>
      </c>
      <c r="C109" s="50" t="s">
        <v>47</v>
      </c>
      <c r="D109" s="52" cm="1">
        <f t="array" ref="D109">_xlfn.IFS(C109=$G$5,VLOOKUP(B109,$G$5:$H$9,2,1),C109=$G$11,VLOOKUP(B109,$G$11:$H$15,2,1),C109=$G$17,VLOOKUP(B109,$G$17:$H$21,2,1),C109=$G$23,VLOOKUP(B109,$G$23:$H$27,2,1))</f>
        <v>0.25</v>
      </c>
      <c r="E109" s="53" t="str">
        <f t="shared" si="1"/>
        <v>✓</v>
      </c>
    </row>
    <row r="110" spans="2:5" ht="15" thickBot="1" x14ac:dyDescent="0.35">
      <c r="B110" s="36">
        <v>951</v>
      </c>
      <c r="C110" s="50" t="s">
        <v>48</v>
      </c>
      <c r="D110" s="52" cm="1">
        <f t="array" ref="D110">_xlfn.IFS(C110=$G$5,VLOOKUP(B110,$G$5:$H$9,2,1),C110=$G$11,VLOOKUP(B110,$G$11:$H$15,2,1),C110=$G$17,VLOOKUP(B110,$G$17:$H$21,2,1),C110=$G$23,VLOOKUP(B110,$G$23:$H$27,2,1))</f>
        <v>1</v>
      </c>
      <c r="E110" s="53" t="str">
        <f t="shared" si="1"/>
        <v>✓</v>
      </c>
    </row>
    <row r="111" spans="2:5" ht="15" thickBot="1" x14ac:dyDescent="0.35">
      <c r="B111" s="36">
        <v>592</v>
      </c>
      <c r="C111" s="50" t="s">
        <v>46</v>
      </c>
      <c r="D111" s="52" cm="1">
        <f t="array" ref="D111">_xlfn.IFS(C111=$G$5,VLOOKUP(B111,$G$5:$H$9,2,1),C111=$G$11,VLOOKUP(B111,$G$11:$H$15,2,1),C111=$G$17,VLOOKUP(B111,$G$17:$H$21,2,1),C111=$G$23,VLOOKUP(B111,$G$23:$H$27,2,1))</f>
        <v>4</v>
      </c>
      <c r="E111" s="53" t="str">
        <f t="shared" si="1"/>
        <v>✓</v>
      </c>
    </row>
    <row r="112" spans="2:5" ht="15" thickBot="1" x14ac:dyDescent="0.35">
      <c r="B112" s="36">
        <v>1500</v>
      </c>
      <c r="C112" s="50" t="s">
        <v>42</v>
      </c>
      <c r="D112" s="52" cm="1">
        <f t="array" ref="D112">_xlfn.IFS(C112=$G$5,VLOOKUP(B112,$G$5:$H$9,2,1),C112=$G$11,VLOOKUP(B112,$G$11:$H$15,2,1),C112=$G$17,VLOOKUP(B112,$G$17:$H$21,2,1),C112=$G$23,VLOOKUP(B112,$G$23:$H$27,2,1))</f>
        <v>2</v>
      </c>
      <c r="E112" s="53" t="str">
        <f t="shared" si="1"/>
        <v>✓</v>
      </c>
    </row>
    <row r="113" spans="2:5" ht="15" thickBot="1" x14ac:dyDescent="0.35">
      <c r="B113" s="36">
        <v>1192</v>
      </c>
      <c r="C113" s="50" t="s">
        <v>42</v>
      </c>
      <c r="D113" s="52" cm="1">
        <f t="array" ref="D113">_xlfn.IFS(C113=$G$5,VLOOKUP(B113,$G$5:$H$9,2,1),C113=$G$11,VLOOKUP(B113,$G$11:$H$15,2,1),C113=$G$17,VLOOKUP(B113,$G$17:$H$21,2,1),C113=$G$23,VLOOKUP(B113,$G$23:$H$27,2,1))</f>
        <v>2</v>
      </c>
      <c r="E113" s="53" t="str">
        <f t="shared" si="1"/>
        <v>✓</v>
      </c>
    </row>
    <row r="114" spans="2:5" ht="15" thickBot="1" x14ac:dyDescent="0.35">
      <c r="B114" s="36">
        <v>606</v>
      </c>
      <c r="C114" s="50" t="s">
        <v>47</v>
      </c>
      <c r="D114" s="52" cm="1">
        <f t="array" ref="D114">_xlfn.IFS(C114=$G$5,VLOOKUP(B114,$G$5:$H$9,2,1),C114=$G$11,VLOOKUP(B114,$G$11:$H$15,2,1),C114=$G$17,VLOOKUP(B114,$G$17:$H$21,2,1),C114=$G$23,VLOOKUP(B114,$G$23:$H$27,2,1))</f>
        <v>0.25</v>
      </c>
      <c r="E114" s="53" t="str">
        <f t="shared" si="1"/>
        <v>✓</v>
      </c>
    </row>
    <row r="115" spans="2:5" ht="15" thickBot="1" x14ac:dyDescent="0.35">
      <c r="B115" s="36">
        <v>291</v>
      </c>
      <c r="C115" s="50" t="s">
        <v>46</v>
      </c>
      <c r="D115" s="52" cm="1">
        <f t="array" ref="D115">_xlfn.IFS(C115=$G$5,VLOOKUP(B115,$G$5:$H$9,2,1),C115=$G$11,VLOOKUP(B115,$G$11:$H$15,2,1),C115=$G$17,VLOOKUP(B115,$G$17:$H$21,2,1),C115=$G$23,VLOOKUP(B115,$G$23:$H$27,2,1))</f>
        <v>6</v>
      </c>
      <c r="E115" s="53" t="str">
        <f t="shared" si="1"/>
        <v>✓</v>
      </c>
    </row>
    <row r="116" spans="2:5" ht="15" thickBot="1" x14ac:dyDescent="0.35">
      <c r="B116" s="36">
        <v>531</v>
      </c>
      <c r="C116" s="50" t="s">
        <v>42</v>
      </c>
      <c r="D116" s="52" cm="1">
        <f t="array" ref="D116">_xlfn.IFS(C116=$G$5,VLOOKUP(B116,$G$5:$H$9,2,1),C116=$G$11,VLOOKUP(B116,$G$11:$H$15,2,1),C116=$G$17,VLOOKUP(B116,$G$17:$H$21,2,1),C116=$G$23,VLOOKUP(B116,$G$23:$H$27,2,1))</f>
        <v>2</v>
      </c>
      <c r="E116" s="53" t="str">
        <f t="shared" si="1"/>
        <v>✓</v>
      </c>
    </row>
    <row r="117" spans="2:5" ht="15" thickBot="1" x14ac:dyDescent="0.35">
      <c r="B117" s="36">
        <v>650</v>
      </c>
      <c r="C117" s="50" t="s">
        <v>46</v>
      </c>
      <c r="D117" s="52" cm="1">
        <f t="array" ref="D117">_xlfn.IFS(C117=$G$5,VLOOKUP(B117,$G$5:$H$9,2,1),C117=$G$11,VLOOKUP(B117,$G$11:$H$15,2,1),C117=$G$17,VLOOKUP(B117,$G$17:$H$21,2,1),C117=$G$23,VLOOKUP(B117,$G$23:$H$27,2,1))</f>
        <v>4</v>
      </c>
      <c r="E117" s="53" t="str">
        <f t="shared" si="1"/>
        <v>✓</v>
      </c>
    </row>
    <row r="118" spans="2:5" ht="15" thickBot="1" x14ac:dyDescent="0.35">
      <c r="B118" s="36">
        <v>1261</v>
      </c>
      <c r="C118" s="50" t="s">
        <v>47</v>
      </c>
      <c r="D118" s="52" cm="1">
        <f t="array" ref="D118">_xlfn.IFS(C118=$G$5,VLOOKUP(B118,$G$5:$H$9,2,1),C118=$G$11,VLOOKUP(B118,$G$11:$H$15,2,1),C118=$G$17,VLOOKUP(B118,$G$17:$H$21,2,1),C118=$G$23,VLOOKUP(B118,$G$23:$H$27,2,1))</f>
        <v>0.25</v>
      </c>
      <c r="E118" s="53" t="str">
        <f t="shared" si="1"/>
        <v>✓</v>
      </c>
    </row>
    <row r="119" spans="2:5" ht="15" thickBot="1" x14ac:dyDescent="0.35">
      <c r="B119" s="36">
        <v>971</v>
      </c>
      <c r="C119" s="50" t="s">
        <v>42</v>
      </c>
      <c r="D119" s="52" cm="1">
        <f t="array" ref="D119">_xlfn.IFS(C119=$G$5,VLOOKUP(B119,$G$5:$H$9,2,1),C119=$G$11,VLOOKUP(B119,$G$11:$H$15,2,1),C119=$G$17,VLOOKUP(B119,$G$17:$H$21,2,1),C119=$G$23,VLOOKUP(B119,$G$23:$H$27,2,1))</f>
        <v>2</v>
      </c>
      <c r="E119" s="53" t="str">
        <f t="shared" si="1"/>
        <v>✓</v>
      </c>
    </row>
    <row r="120" spans="2:5" ht="15" thickBot="1" x14ac:dyDescent="0.35">
      <c r="B120" s="36">
        <v>1202</v>
      </c>
      <c r="C120" s="50" t="s">
        <v>47</v>
      </c>
      <c r="D120" s="52" cm="1">
        <f t="array" ref="D120">_xlfn.IFS(C120=$G$5,VLOOKUP(B120,$G$5:$H$9,2,1),C120=$G$11,VLOOKUP(B120,$G$11:$H$15,2,1),C120=$G$17,VLOOKUP(B120,$G$17:$H$21,2,1),C120=$G$23,VLOOKUP(B120,$G$23:$H$27,2,1))</f>
        <v>0.25</v>
      </c>
      <c r="E120" s="53" t="str">
        <f t="shared" si="1"/>
        <v>✓</v>
      </c>
    </row>
    <row r="121" spans="2:5" ht="15" thickBot="1" x14ac:dyDescent="0.35">
      <c r="B121" s="37">
        <v>583</v>
      </c>
      <c r="C121" s="51" t="s">
        <v>48</v>
      </c>
      <c r="D121" s="52" cm="1">
        <f t="array" ref="D121">_xlfn.IFS(C121=$G$5,VLOOKUP(B121,$G$5:$H$9,2,1),C121=$G$11,VLOOKUP(B121,$G$11:$H$15,2,1),C121=$G$17,VLOOKUP(B121,$G$17:$H$21,2,1),C121=$G$23,VLOOKUP(B121,$G$23:$H$27,2,1))</f>
        <v>1</v>
      </c>
      <c r="E121" s="53" t="str">
        <f t="shared" si="1"/>
        <v>✓</v>
      </c>
    </row>
  </sheetData>
  <mergeCells count="1">
    <mergeCell ref="B2:D2"/>
  </mergeCells>
  <conditionalFormatting sqref="E10">
    <cfRule type="cellIs" dxfId="4" priority="2" operator="equal">
      <formula>"✘"</formula>
    </cfRule>
    <cfRule type="cellIs" dxfId="3" priority="3" operator="equal">
      <formula>"✓"</formula>
    </cfRule>
  </conditionalFormatting>
  <conditionalFormatting sqref="E10:E121">
    <cfRule type="expression" dxfId="2" priority="6">
      <formula>$D$10=""</formula>
    </cfRule>
  </conditionalFormatting>
  <conditionalFormatting sqref="E13:E121">
    <cfRule type="cellIs" dxfId="1" priority="4" operator="equal">
      <formula>"✘"</formula>
    </cfRule>
    <cfRule type="cellIs" dxfId="0" priority="5" operator="equal">
      <formula>"✓"</formula>
    </cfRule>
  </conditionalFormatting>
  <pageMargins left="0.7" right="0.7" top="0.75" bottom="0.75" header="0.3" footer="0.3"/>
  <pageSetup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BuscarV Simple</vt:lpstr>
      <vt:lpstr>BuscarV Lista Validada</vt:lpstr>
      <vt:lpstr>BuscarV Rangos</vt:lpstr>
      <vt:lpstr>BuscarV Tablas Múltiples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DMI</dc:creator>
  <cp:lastModifiedBy>Stephani De la cruz</cp:lastModifiedBy>
  <dcterms:created xsi:type="dcterms:W3CDTF">2016-05-10T17:03:47Z</dcterms:created>
  <dcterms:modified xsi:type="dcterms:W3CDTF">2026-01-29T12:30:17Z</dcterms:modified>
</cp:coreProperties>
</file>